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i\Downloads\"/>
    </mc:Choice>
  </mc:AlternateContent>
  <xr:revisionPtr revIDLastSave="0" documentId="13_ncr:1_{5D09E566-284F-43B6-9E75-63C11C697ED5}" xr6:coauthVersionLast="47" xr6:coauthVersionMax="47" xr10:uidLastSave="{00000000-0000-0000-0000-000000000000}"/>
  <bookViews>
    <workbookView xWindow="-108" yWindow="-108" windowWidth="23256" windowHeight="12456" xr2:uid="{07A810D5-3673-4D68-A3A1-BA79FD3C6D0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7" i="1" l="1"/>
  <c r="AJ17" i="1"/>
  <c r="AI17" i="1"/>
  <c r="Y28" i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I16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D43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D42" i="1"/>
  <c r="AK5" i="1"/>
  <c r="AK19" i="1"/>
  <c r="AK18" i="1"/>
  <c r="AK16" i="1"/>
  <c r="AK15" i="1"/>
  <c r="AK14" i="1"/>
  <c r="AK13" i="1"/>
  <c r="AK12" i="1"/>
  <c r="AK11" i="1"/>
  <c r="AK10" i="1"/>
  <c r="AK9" i="1"/>
  <c r="AK8" i="1"/>
  <c r="AK7" i="1"/>
  <c r="AK6" i="1"/>
  <c r="AI7" i="1"/>
  <c r="AJ7" i="1"/>
  <c r="AC32" i="1"/>
  <c r="Q32" i="1"/>
  <c r="O32" i="1"/>
  <c r="D3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D41" i="1"/>
  <c r="D40" i="1"/>
  <c r="D39" i="1"/>
  <c r="D38" i="1"/>
  <c r="E31" i="1"/>
  <c r="F31" i="1"/>
  <c r="G31" i="1"/>
  <c r="H31" i="1"/>
  <c r="I31" i="1"/>
  <c r="J31" i="1"/>
  <c r="K31" i="1"/>
  <c r="L31" i="1"/>
  <c r="M31" i="1"/>
  <c r="N31" i="1"/>
  <c r="P31" i="1"/>
  <c r="R31" i="1"/>
  <c r="S31" i="1"/>
  <c r="T31" i="1"/>
  <c r="U31" i="1"/>
  <c r="V31" i="1"/>
  <c r="W31" i="1"/>
  <c r="X31" i="1"/>
  <c r="Y31" i="1"/>
  <c r="Z31" i="1"/>
  <c r="AA31" i="1"/>
  <c r="AB31" i="1"/>
  <c r="AD31" i="1"/>
  <c r="AE31" i="1"/>
  <c r="AF31" i="1"/>
  <c r="AG31" i="1"/>
  <c r="AH31" i="1"/>
  <c r="E32" i="1"/>
  <c r="F32" i="1"/>
  <c r="G32" i="1"/>
  <c r="H32" i="1"/>
  <c r="I32" i="1"/>
  <c r="J32" i="1"/>
  <c r="K32" i="1"/>
  <c r="L32" i="1"/>
  <c r="M32" i="1"/>
  <c r="N32" i="1"/>
  <c r="P32" i="1"/>
  <c r="R32" i="1"/>
  <c r="S32" i="1"/>
  <c r="T32" i="1"/>
  <c r="U32" i="1"/>
  <c r="V32" i="1"/>
  <c r="W32" i="1"/>
  <c r="X32" i="1"/>
  <c r="Y32" i="1"/>
  <c r="Z32" i="1"/>
  <c r="AA32" i="1"/>
  <c r="AB32" i="1"/>
  <c r="AD32" i="1"/>
  <c r="AE32" i="1"/>
  <c r="AF32" i="1"/>
  <c r="AG32" i="1"/>
  <c r="AH32" i="1"/>
  <c r="E33" i="1"/>
  <c r="F33" i="1"/>
  <c r="G33" i="1"/>
  <c r="H33" i="1"/>
  <c r="I33" i="1"/>
  <c r="J33" i="1"/>
  <c r="K33" i="1"/>
  <c r="L33" i="1"/>
  <c r="M33" i="1"/>
  <c r="N33" i="1"/>
  <c r="O33" i="1"/>
  <c r="P33" i="1"/>
  <c r="R33" i="1"/>
  <c r="S33" i="1"/>
  <c r="T33" i="1"/>
  <c r="U33" i="1"/>
  <c r="V33" i="1"/>
  <c r="W33" i="1"/>
  <c r="X33" i="1"/>
  <c r="Y33" i="1"/>
  <c r="Z33" i="1"/>
  <c r="AA33" i="1"/>
  <c r="AB33" i="1"/>
  <c r="AD33" i="1"/>
  <c r="AE33" i="1"/>
  <c r="AF33" i="1"/>
  <c r="AG33" i="1"/>
  <c r="AH33" i="1"/>
  <c r="E34" i="1"/>
  <c r="F34" i="1"/>
  <c r="G34" i="1"/>
  <c r="H34" i="1"/>
  <c r="I34" i="1"/>
  <c r="J34" i="1"/>
  <c r="K34" i="1"/>
  <c r="L34" i="1"/>
  <c r="M34" i="1"/>
  <c r="N34" i="1"/>
  <c r="O34" i="1"/>
  <c r="P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Z28" i="1"/>
  <c r="AA28" i="1"/>
  <c r="AB28" i="1"/>
  <c r="AC28" i="1"/>
  <c r="AD28" i="1"/>
  <c r="AE28" i="1"/>
  <c r="AF28" i="1"/>
  <c r="AG28" i="1"/>
  <c r="AH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6" i="1"/>
  <c r="AJ6" i="1"/>
  <c r="AI8" i="1"/>
  <c r="AJ8" i="1"/>
  <c r="AI9" i="1"/>
  <c r="AJ9" i="1"/>
  <c r="AI10" i="1"/>
  <c r="AJ10" i="1"/>
  <c r="AI11" i="1"/>
  <c r="AJ11" i="1"/>
  <c r="AI12" i="1"/>
  <c r="AJ12" i="1"/>
  <c r="AI13" i="1"/>
  <c r="AJ13" i="1"/>
  <c r="AI14" i="1"/>
  <c r="AJ14" i="1"/>
  <c r="AI15" i="1"/>
  <c r="AJ15" i="1"/>
  <c r="AJ16" i="1"/>
  <c r="AI18" i="1"/>
  <c r="AJ18" i="1"/>
  <c r="AI19" i="1"/>
  <c r="AJ19" i="1"/>
  <c r="AJ5" i="1"/>
  <c r="AI5" i="1"/>
  <c r="D35" i="1"/>
  <c r="D33" i="1"/>
  <c r="D32" i="1"/>
  <c r="D31" i="1"/>
  <c r="D29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D37" i="1"/>
  <c r="D28" i="1"/>
  <c r="Q31" i="1" l="1"/>
  <c r="AC33" i="1"/>
  <c r="AC31" i="1"/>
  <c r="Q33" i="1"/>
  <c r="O31" i="1"/>
  <c r="O36" i="1" s="1"/>
  <c r="Q34" i="1"/>
  <c r="D36" i="1"/>
  <c r="X36" i="1"/>
  <c r="AF30" i="1"/>
  <c r="M36" i="1"/>
  <c r="T30" i="1"/>
  <c r="D30" i="1"/>
  <c r="W36" i="1"/>
  <c r="L36" i="1"/>
  <c r="K36" i="1"/>
  <c r="H30" i="1"/>
  <c r="I30" i="1"/>
  <c r="U30" i="1"/>
  <c r="AG30" i="1"/>
  <c r="AE30" i="1"/>
  <c r="V30" i="1"/>
  <c r="O30" i="1"/>
  <c r="N36" i="1"/>
  <c r="Z36" i="1"/>
  <c r="H36" i="1"/>
  <c r="T36" i="1"/>
  <c r="AF36" i="1"/>
  <c r="AD30" i="1"/>
  <c r="W30" i="1"/>
  <c r="P30" i="1"/>
  <c r="AB30" i="1"/>
  <c r="AA36" i="1"/>
  <c r="I36" i="1"/>
  <c r="U36" i="1"/>
  <c r="AG36" i="1"/>
  <c r="S30" i="1"/>
  <c r="L30" i="1"/>
  <c r="X30" i="1"/>
  <c r="E30" i="1"/>
  <c r="Q30" i="1"/>
  <c r="AC30" i="1"/>
  <c r="P36" i="1"/>
  <c r="AB36" i="1"/>
  <c r="J36" i="1"/>
  <c r="V36" i="1"/>
  <c r="R30" i="1"/>
  <c r="M30" i="1"/>
  <c r="E36" i="1"/>
  <c r="G30" i="1"/>
  <c r="N30" i="1"/>
  <c r="Z30" i="1"/>
  <c r="F36" i="1"/>
  <c r="R36" i="1"/>
  <c r="AD36" i="1"/>
  <c r="F30" i="1"/>
  <c r="AA30" i="1"/>
  <c r="G36" i="1"/>
  <c r="S36" i="1"/>
  <c r="AE36" i="1"/>
  <c r="AH36" i="1"/>
  <c r="K30" i="1"/>
  <c r="J30" i="1"/>
  <c r="AH30" i="1"/>
  <c r="Y36" i="1"/>
  <c r="Y30" i="1"/>
  <c r="Q36" i="1" l="1"/>
  <c r="Q45" i="1" s="1"/>
  <c r="AC36" i="1"/>
  <c r="AC45" i="1" s="1"/>
  <c r="X45" i="1"/>
  <c r="K45" i="1"/>
  <c r="T45" i="1"/>
  <c r="M45" i="1"/>
  <c r="AF45" i="1"/>
  <c r="D45" i="1"/>
  <c r="W45" i="1"/>
  <c r="AA45" i="1"/>
  <c r="R45" i="1"/>
  <c r="F45" i="1"/>
  <c r="O45" i="1"/>
  <c r="H45" i="1"/>
  <c r="L45" i="1"/>
  <c r="S45" i="1"/>
  <c r="V45" i="1"/>
  <c r="AE45" i="1"/>
  <c r="AH45" i="1"/>
  <c r="AB45" i="1"/>
  <c r="AG45" i="1"/>
  <c r="J45" i="1"/>
  <c r="Z45" i="1"/>
  <c r="P45" i="1"/>
  <c r="U45" i="1"/>
  <c r="N45" i="1"/>
  <c r="I45" i="1"/>
  <c r="G45" i="1"/>
  <c r="E45" i="1"/>
  <c r="AD45" i="1"/>
  <c r="Y45" i="1"/>
</calcChain>
</file>

<file path=xl/sharedStrings.xml><?xml version="1.0" encoding="utf-8"?>
<sst xmlns="http://schemas.openxmlformats.org/spreadsheetml/2006/main" count="210" uniqueCount="70">
  <si>
    <t>　職 員 勤 務 体 制 表</t>
    <rPh sb="1" eb="2">
      <t>2263</t>
    </rPh>
    <rPh sb="3" eb="4">
      <t>イン</t>
    </rPh>
    <rPh sb="5" eb="6">
      <t>ツトム</t>
    </rPh>
    <rPh sb="7" eb="8">
      <t>ツトム</t>
    </rPh>
    <rPh sb="9" eb="10">
      <t>カラダ</t>
    </rPh>
    <rPh sb="11" eb="12">
      <t>セイ</t>
    </rPh>
    <rPh sb="13" eb="14">
      <t>ヒョウ</t>
    </rPh>
    <phoneticPr fontId="4"/>
  </si>
  <si>
    <t>施設</t>
    <rPh sb="0" eb="2">
      <t>シセツ</t>
    </rPh>
    <phoneticPr fontId="2"/>
  </si>
  <si>
    <t>　　　　　　　日付
氏名</t>
    <rPh sb="7" eb="9">
      <t>ヒヅケ</t>
    </rPh>
    <rPh sb="10" eb="12">
      <t>シメイ</t>
    </rPh>
    <phoneticPr fontId="2"/>
  </si>
  <si>
    <t>早出</t>
    <rPh sb="0" eb="2">
      <t>ハヤデ</t>
    </rPh>
    <phoneticPr fontId="4"/>
  </si>
  <si>
    <t>遅出</t>
    <rPh sb="0" eb="2">
      <t>オソデ</t>
    </rPh>
    <phoneticPr fontId="4"/>
  </si>
  <si>
    <t>休</t>
    <rPh sb="0" eb="1">
      <t>ヤス</t>
    </rPh>
    <phoneticPr fontId="4"/>
  </si>
  <si>
    <t>A</t>
    <phoneticPr fontId="4"/>
  </si>
  <si>
    <t>7：00～16：00</t>
    <phoneticPr fontId="2"/>
  </si>
  <si>
    <t>A1</t>
    <phoneticPr fontId="4"/>
  </si>
  <si>
    <t>7：00～11：00</t>
    <phoneticPr fontId="2"/>
  </si>
  <si>
    <t>A2</t>
    <phoneticPr fontId="4"/>
  </si>
  <si>
    <t>12:00～16:00</t>
    <phoneticPr fontId="2"/>
  </si>
  <si>
    <t>B</t>
    <phoneticPr fontId="4"/>
  </si>
  <si>
    <t>8：00～17：00</t>
    <phoneticPr fontId="2"/>
  </si>
  <si>
    <t>B1</t>
    <phoneticPr fontId="2"/>
  </si>
  <si>
    <t>8：00～12:00</t>
    <phoneticPr fontId="2"/>
  </si>
  <si>
    <t>C</t>
    <phoneticPr fontId="2"/>
  </si>
  <si>
    <t>8：30～17：30</t>
    <phoneticPr fontId="2"/>
  </si>
  <si>
    <t>C1</t>
    <phoneticPr fontId="2"/>
  </si>
  <si>
    <t>8：30～12：30</t>
    <phoneticPr fontId="2"/>
  </si>
  <si>
    <t>C2</t>
    <phoneticPr fontId="2"/>
  </si>
  <si>
    <t>13:30～17：30</t>
    <phoneticPr fontId="2"/>
  </si>
  <si>
    <t>D</t>
    <phoneticPr fontId="2"/>
  </si>
  <si>
    <t>9:00～18:00</t>
    <phoneticPr fontId="2"/>
  </si>
  <si>
    <t>D1</t>
    <phoneticPr fontId="2"/>
  </si>
  <si>
    <t>14:00～18:00</t>
    <phoneticPr fontId="2"/>
  </si>
  <si>
    <t>E１</t>
    <phoneticPr fontId="2"/>
  </si>
  <si>
    <t>14:30～18：30</t>
    <phoneticPr fontId="2"/>
  </si>
  <si>
    <t>F</t>
    <phoneticPr fontId="2"/>
  </si>
  <si>
    <t>10:00～19:00</t>
    <phoneticPr fontId="2"/>
  </si>
  <si>
    <t>P1</t>
    <phoneticPr fontId="2"/>
  </si>
  <si>
    <t>8:00～13:00</t>
    <phoneticPr fontId="2"/>
  </si>
  <si>
    <t>P2</t>
    <phoneticPr fontId="2"/>
  </si>
  <si>
    <t>8:00～16:00</t>
    <phoneticPr fontId="2"/>
  </si>
  <si>
    <t>行事予定</t>
    <rPh sb="0" eb="2">
      <t>ギョウジ</t>
    </rPh>
    <rPh sb="2" eb="4">
      <t>ヨテイ</t>
    </rPh>
    <phoneticPr fontId="2"/>
  </si>
  <si>
    <t>備　考</t>
    <rPh sb="0" eb="1">
      <t>ビ</t>
    </rPh>
    <rPh sb="2" eb="3">
      <t>コウ</t>
    </rPh>
    <phoneticPr fontId="2"/>
  </si>
  <si>
    <t>休</t>
    <phoneticPr fontId="2"/>
  </si>
  <si>
    <t>有</t>
    <phoneticPr fontId="2"/>
  </si>
  <si>
    <t>A</t>
    <phoneticPr fontId="2"/>
  </si>
  <si>
    <t>A1</t>
    <phoneticPr fontId="2"/>
  </si>
  <si>
    <t>早出</t>
    <rPh sb="0" eb="2">
      <t>ハヤデ</t>
    </rPh>
    <phoneticPr fontId="2"/>
  </si>
  <si>
    <t>E</t>
    <phoneticPr fontId="2"/>
  </si>
  <si>
    <t>E1</t>
    <phoneticPr fontId="2"/>
  </si>
  <si>
    <t>遅出</t>
    <rPh sb="0" eb="2">
      <t>オソデ</t>
    </rPh>
    <phoneticPr fontId="2"/>
  </si>
  <si>
    <t>B</t>
    <phoneticPr fontId="2"/>
  </si>
  <si>
    <t>施設長</t>
    <rPh sb="0" eb="3">
      <t>シセツチョウ</t>
    </rPh>
    <phoneticPr fontId="2"/>
  </si>
  <si>
    <t>I</t>
    <phoneticPr fontId="2"/>
  </si>
  <si>
    <t>勤務者数</t>
    <rPh sb="0" eb="3">
      <t>キンムシャ</t>
    </rPh>
    <rPh sb="3" eb="4">
      <t>スウ</t>
    </rPh>
    <phoneticPr fontId="2"/>
  </si>
  <si>
    <t>火</t>
  </si>
  <si>
    <t>水</t>
  </si>
  <si>
    <t>木</t>
  </si>
  <si>
    <t>金</t>
  </si>
  <si>
    <t>土</t>
  </si>
  <si>
    <t>日</t>
  </si>
  <si>
    <t>月</t>
  </si>
  <si>
    <t>A</t>
  </si>
  <si>
    <t>D</t>
  </si>
  <si>
    <t>木</t>
    <rPh sb="0" eb="1">
      <t>モク</t>
    </rPh>
    <phoneticPr fontId="2"/>
  </si>
  <si>
    <t>休</t>
  </si>
  <si>
    <t>C</t>
  </si>
  <si>
    <t>A1</t>
  </si>
  <si>
    <t>有</t>
  </si>
  <si>
    <t>9:00～15:00</t>
    <phoneticPr fontId="2"/>
  </si>
  <si>
    <t>P3</t>
    <phoneticPr fontId="2"/>
  </si>
  <si>
    <t>リフ</t>
    <phoneticPr fontId="2"/>
  </si>
  <si>
    <t>水</t>
    <rPh sb="0" eb="1">
      <t>スイ</t>
    </rPh>
    <phoneticPr fontId="2"/>
  </si>
  <si>
    <t>金</t>
    <rPh sb="0" eb="1">
      <t>キン</t>
    </rPh>
    <phoneticPr fontId="2"/>
  </si>
  <si>
    <t>P3</t>
  </si>
  <si>
    <t>（公休</t>
    <rPh sb="1" eb="3">
      <t>コウキュウ</t>
    </rPh>
    <phoneticPr fontId="2"/>
  </si>
  <si>
    <t>日）</t>
    <rPh sb="0" eb="1">
      <t>ニチ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</si>
</sst>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;@"/>
    <numFmt numFmtId="177" formatCode="d;@"/>
  </numFmts>
  <fonts count="15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9"/>
      <name val="ＭＳ Ｐゴシック"/>
      <family val="3"/>
      <charset val="128"/>
    </font>
    <font>
      <sz val="9"/>
      <color theme="1"/>
      <name val="游ゴシック"/>
      <family val="2"/>
      <charset val="128"/>
      <scheme val="minor"/>
    </font>
    <font>
      <sz val="10"/>
      <color rgb="FFFF0000"/>
      <name val="ＭＳ Ｐゴシック"/>
      <family val="3"/>
      <charset val="128"/>
    </font>
    <font>
      <sz val="11"/>
      <name val="游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sz val="8"/>
      <color theme="1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2">
    <border>
      <left/>
      <right/>
      <top/>
      <bottom/>
      <diagonal/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8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>
      <alignment vertical="center"/>
    </xf>
    <xf numFmtId="0" fontId="6" fillId="0" borderId="0" xfId="0" applyFont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1" fillId="2" borderId="25" xfId="0" applyFont="1" applyFill="1" applyBorder="1" applyAlignment="1">
      <alignment horizontal="center" vertical="center" shrinkToFit="1"/>
    </xf>
    <xf numFmtId="0" fontId="1" fillId="2" borderId="28" xfId="0" applyFont="1" applyFill="1" applyBorder="1" applyAlignment="1">
      <alignment horizontal="center" vertical="center" shrinkToFit="1"/>
    </xf>
    <xf numFmtId="0" fontId="6" fillId="0" borderId="44" xfId="0" applyFont="1" applyBorder="1" applyAlignment="1">
      <alignment horizontal="center" vertical="center" shrinkToFit="1"/>
    </xf>
    <xf numFmtId="0" fontId="6" fillId="0" borderId="42" xfId="0" applyFont="1" applyBorder="1" applyAlignment="1">
      <alignment horizontal="center" vertical="center" shrinkToFit="1"/>
    </xf>
    <xf numFmtId="0" fontId="1" fillId="0" borderId="23" xfId="0" applyFont="1" applyBorder="1" applyAlignment="1">
      <alignment vertical="center" textRotation="255" shrinkToFit="1"/>
    </xf>
    <xf numFmtId="0" fontId="1" fillId="0" borderId="0" xfId="0" applyFont="1" applyAlignment="1">
      <alignment vertical="center" textRotation="255" shrinkToFit="1"/>
    </xf>
    <xf numFmtId="0" fontId="1" fillId="0" borderId="33" xfId="0" applyFont="1" applyBorder="1" applyAlignment="1">
      <alignment vertical="center" textRotation="255" shrinkToFit="1"/>
    </xf>
    <xf numFmtId="0" fontId="12" fillId="0" borderId="0" xfId="0" applyFont="1">
      <alignment vertical="center"/>
    </xf>
    <xf numFmtId="177" fontId="1" fillId="5" borderId="2" xfId="0" applyNumberFormat="1" applyFont="1" applyFill="1" applyBorder="1" applyAlignment="1">
      <alignment horizontal="center" vertical="center" shrinkToFit="1"/>
    </xf>
    <xf numFmtId="0" fontId="1" fillId="5" borderId="4" xfId="0" applyFont="1" applyFill="1" applyBorder="1" applyAlignment="1" applyProtection="1">
      <alignment horizontal="center" vertical="center" shrinkToFit="1"/>
      <protection locked="0"/>
    </xf>
    <xf numFmtId="0" fontId="1" fillId="5" borderId="7" xfId="0" applyFont="1" applyFill="1" applyBorder="1" applyAlignment="1" applyProtection="1">
      <alignment horizontal="center" vertical="center" shrinkToFit="1"/>
      <protection locked="0"/>
    </xf>
    <xf numFmtId="0" fontId="1" fillId="5" borderId="38" xfId="0" applyFont="1" applyFill="1" applyBorder="1" applyAlignment="1">
      <alignment horizontal="center" vertical="center" shrinkToFit="1"/>
    </xf>
    <xf numFmtId="0" fontId="1" fillId="5" borderId="10" xfId="0" applyFont="1" applyFill="1" applyBorder="1" applyAlignment="1">
      <alignment horizontal="center" vertical="center" shrinkToFit="1"/>
    </xf>
    <xf numFmtId="0" fontId="1" fillId="5" borderId="4" xfId="0" applyFont="1" applyFill="1" applyBorder="1" applyAlignment="1">
      <alignment horizontal="center" vertical="center" shrinkToFit="1"/>
    </xf>
    <xf numFmtId="0" fontId="1" fillId="5" borderId="46" xfId="0" applyFont="1" applyFill="1" applyBorder="1" applyAlignment="1">
      <alignment horizontal="center" vertical="center" shrinkToFit="1"/>
    </xf>
    <xf numFmtId="0" fontId="1" fillId="5" borderId="11" xfId="0" applyFont="1" applyFill="1" applyBorder="1" applyAlignment="1">
      <alignment horizontal="center" vertical="center" shrinkToFit="1"/>
    </xf>
    <xf numFmtId="0" fontId="1" fillId="5" borderId="0" xfId="0" applyFont="1" applyFill="1" applyAlignment="1">
      <alignment horizontal="center" vertical="center" shrinkToFit="1"/>
    </xf>
    <xf numFmtId="0" fontId="1" fillId="5" borderId="23" xfId="0" applyFont="1" applyFill="1" applyBorder="1" applyAlignment="1">
      <alignment vertical="center" shrinkToFit="1"/>
    </xf>
    <xf numFmtId="0" fontId="1" fillId="5" borderId="0" xfId="0" applyFont="1" applyFill="1" applyAlignment="1">
      <alignment vertical="center" shrinkToFit="1"/>
    </xf>
    <xf numFmtId="0" fontId="1" fillId="5" borderId="33" xfId="0" applyFont="1" applyFill="1" applyBorder="1" applyAlignment="1">
      <alignment vertical="center" shrinkToFit="1"/>
    </xf>
    <xf numFmtId="177" fontId="1" fillId="8" borderId="2" xfId="0" applyNumberFormat="1" applyFont="1" applyFill="1" applyBorder="1" applyAlignment="1">
      <alignment horizontal="center" vertical="center" shrinkToFit="1"/>
    </xf>
    <xf numFmtId="0" fontId="1" fillId="8" borderId="4" xfId="0" applyFont="1" applyFill="1" applyBorder="1" applyAlignment="1" applyProtection="1">
      <alignment horizontal="center" vertical="center" shrinkToFit="1"/>
      <protection locked="0"/>
    </xf>
    <xf numFmtId="0" fontId="1" fillId="8" borderId="7" xfId="0" applyFont="1" applyFill="1" applyBorder="1" applyAlignment="1" applyProtection="1">
      <alignment horizontal="center" vertical="center" shrinkToFit="1"/>
      <protection locked="0"/>
    </xf>
    <xf numFmtId="177" fontId="1" fillId="9" borderId="2" xfId="0" applyNumberFormat="1" applyFont="1" applyFill="1" applyBorder="1" applyAlignment="1">
      <alignment horizontal="center" vertical="center" shrinkToFit="1"/>
    </xf>
    <xf numFmtId="0" fontId="1" fillId="9" borderId="4" xfId="0" applyFont="1" applyFill="1" applyBorder="1" applyAlignment="1" applyProtection="1">
      <alignment horizontal="center" vertical="center" shrinkToFit="1"/>
      <protection locked="0"/>
    </xf>
    <xf numFmtId="0" fontId="1" fillId="9" borderId="7" xfId="0" applyFont="1" applyFill="1" applyBorder="1" applyAlignment="1" applyProtection="1">
      <alignment horizontal="center" vertical="center" shrinkToFit="1"/>
      <protection locked="0"/>
    </xf>
    <xf numFmtId="0" fontId="6" fillId="0" borderId="22" xfId="0" applyFont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0" fontId="1" fillId="2" borderId="29" xfId="0" applyFont="1" applyFill="1" applyBorder="1" applyAlignment="1">
      <alignment horizontal="center" vertical="center" shrinkToFit="1"/>
    </xf>
    <xf numFmtId="0" fontId="1" fillId="2" borderId="30" xfId="0" applyFont="1" applyFill="1" applyBorder="1" applyAlignment="1">
      <alignment horizontal="center" vertical="center" shrinkToFit="1"/>
    </xf>
    <xf numFmtId="0" fontId="11" fillId="5" borderId="7" xfId="0" applyFont="1" applyFill="1" applyBorder="1" applyAlignment="1" applyProtection="1">
      <alignment horizontal="center" vertical="center" shrinkToFit="1"/>
      <protection locked="0"/>
    </xf>
    <xf numFmtId="0" fontId="11" fillId="8" borderId="7" xfId="0" applyFont="1" applyFill="1" applyBorder="1" applyAlignment="1" applyProtection="1">
      <alignment horizontal="center" vertical="center" shrinkToFit="1"/>
      <protection locked="0"/>
    </xf>
    <xf numFmtId="0" fontId="1" fillId="6" borderId="7" xfId="0" applyFont="1" applyFill="1" applyBorder="1" applyAlignment="1" applyProtection="1">
      <alignment horizontal="center" vertical="center" shrinkToFit="1"/>
      <protection locked="0"/>
    </xf>
    <xf numFmtId="0" fontId="1" fillId="5" borderId="50" xfId="0" applyFont="1" applyFill="1" applyBorder="1" applyAlignment="1" applyProtection="1">
      <alignment horizontal="center" vertical="center" shrinkToFit="1"/>
      <protection locked="0"/>
    </xf>
    <xf numFmtId="0" fontId="1" fillId="8" borderId="50" xfId="0" applyFont="1" applyFill="1" applyBorder="1" applyAlignment="1" applyProtection="1">
      <alignment horizontal="center" vertical="center" shrinkToFit="1"/>
      <protection locked="0"/>
    </xf>
    <xf numFmtId="0" fontId="0" fillId="5" borderId="0" xfId="0" applyFill="1">
      <alignment vertical="center"/>
    </xf>
    <xf numFmtId="0" fontId="1" fillId="5" borderId="6" xfId="0" applyFont="1" applyFill="1" applyBorder="1" applyAlignment="1">
      <alignment horizontal="center" vertical="center" shrinkToFit="1"/>
    </xf>
    <xf numFmtId="0" fontId="1" fillId="5" borderId="48" xfId="0" applyFont="1" applyFill="1" applyBorder="1" applyAlignment="1" applyProtection="1">
      <alignment horizontal="center" vertical="center" shrinkToFit="1"/>
      <protection locked="0"/>
    </xf>
    <xf numFmtId="0" fontId="3" fillId="5" borderId="0" xfId="0" applyFont="1" applyFill="1" applyAlignment="1" applyProtection="1">
      <alignment vertical="center" shrinkToFit="1"/>
      <protection locked="0"/>
    </xf>
    <xf numFmtId="0" fontId="1" fillId="5" borderId="0" xfId="0" applyFont="1" applyFill="1">
      <alignment vertical="center"/>
    </xf>
    <xf numFmtId="0" fontId="1" fillId="5" borderId="47" xfId="0" applyFont="1" applyFill="1" applyBorder="1" applyAlignment="1" applyProtection="1">
      <alignment horizontal="center" vertical="center" shrinkToFit="1"/>
      <protection locked="0"/>
    </xf>
    <xf numFmtId="0" fontId="1" fillId="5" borderId="51" xfId="0" applyFont="1" applyFill="1" applyBorder="1" applyAlignment="1" applyProtection="1">
      <alignment horizontal="center" vertical="center" shrinkToFit="1"/>
      <protection locked="0"/>
    </xf>
    <xf numFmtId="0" fontId="13" fillId="8" borderId="7" xfId="0" applyFont="1" applyFill="1" applyBorder="1" applyAlignment="1" applyProtection="1">
      <alignment horizontal="center" vertical="center" shrinkToFit="1"/>
      <protection locked="0"/>
    </xf>
    <xf numFmtId="0" fontId="11" fillId="5" borderId="47" xfId="0" applyFont="1" applyFill="1" applyBorder="1" applyAlignment="1" applyProtection="1">
      <alignment horizontal="center" vertical="center" shrinkToFit="1"/>
      <protection locked="0"/>
    </xf>
    <xf numFmtId="0" fontId="6" fillId="2" borderId="17" xfId="0" applyFont="1" applyFill="1" applyBorder="1" applyAlignment="1">
      <alignment horizontal="distributed" vertical="center" indent="2" shrinkToFit="1"/>
    </xf>
    <xf numFmtId="0" fontId="6" fillId="2" borderId="12" xfId="0" applyFont="1" applyFill="1" applyBorder="1" applyAlignment="1">
      <alignment horizontal="distributed" vertical="center" indent="2" shrinkToFit="1"/>
    </xf>
    <xf numFmtId="0" fontId="6" fillId="0" borderId="17" xfId="0" applyFont="1" applyBorder="1" applyAlignment="1">
      <alignment horizontal="distributed" vertical="center" indent="2" shrinkToFit="1"/>
    </xf>
    <xf numFmtId="0" fontId="6" fillId="0" borderId="12" xfId="0" applyFont="1" applyBorder="1" applyAlignment="1">
      <alignment horizontal="distributed" vertical="center" indent="2" shrinkToFit="1"/>
    </xf>
    <xf numFmtId="0" fontId="1" fillId="2" borderId="26" xfId="0" applyFont="1" applyFill="1" applyBorder="1" applyAlignment="1">
      <alignment horizontal="center" vertical="center" shrinkToFit="1"/>
    </xf>
    <xf numFmtId="0" fontId="1" fillId="2" borderId="27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0" fontId="1" fillId="2" borderId="29" xfId="0" applyFont="1" applyFill="1" applyBorder="1" applyAlignment="1">
      <alignment horizontal="center" vertical="center" shrinkToFit="1"/>
    </xf>
    <xf numFmtId="0" fontId="1" fillId="0" borderId="38" xfId="0" applyFont="1" applyBorder="1" applyAlignment="1">
      <alignment horizontal="center" vertical="center" textRotation="255" shrinkToFit="1"/>
    </xf>
    <xf numFmtId="0" fontId="1" fillId="0" borderId="40" xfId="0" applyFont="1" applyBorder="1" applyAlignment="1">
      <alignment horizontal="center" vertical="center" textRotation="255" shrinkToFit="1"/>
    </xf>
    <xf numFmtId="0" fontId="1" fillId="0" borderId="19" xfId="0" applyFont="1" applyBorder="1" applyAlignment="1">
      <alignment horizontal="center" vertical="center" textRotation="255" shrinkToFit="1"/>
    </xf>
    <xf numFmtId="0" fontId="1" fillId="5" borderId="17" xfId="0" applyFont="1" applyFill="1" applyBorder="1" applyAlignment="1" applyProtection="1">
      <alignment horizontal="left" vertical="center" shrinkToFit="1"/>
      <protection locked="0"/>
    </xf>
    <xf numFmtId="0" fontId="1" fillId="5" borderId="8" xfId="0" applyFont="1" applyFill="1" applyBorder="1" applyAlignment="1" applyProtection="1">
      <alignment horizontal="left" vertical="center" shrinkToFit="1"/>
      <protection locked="0"/>
    </xf>
    <xf numFmtId="0" fontId="5" fillId="5" borderId="22" xfId="0" applyFont="1" applyFill="1" applyBorder="1" applyAlignment="1" applyProtection="1">
      <alignment horizontal="center" vertical="center" shrinkToFit="1"/>
      <protection locked="0"/>
    </xf>
    <xf numFmtId="0" fontId="5" fillId="5" borderId="13" xfId="0" applyFont="1" applyFill="1" applyBorder="1" applyAlignment="1" applyProtection="1">
      <alignment horizontal="center" vertical="center" shrinkToFit="1"/>
      <protection locked="0"/>
    </xf>
    <xf numFmtId="0" fontId="5" fillId="5" borderId="45" xfId="0" applyFont="1" applyFill="1" applyBorder="1" applyAlignment="1" applyProtection="1">
      <alignment horizontal="center" vertical="center" shrinkToFit="1"/>
      <protection locked="0"/>
    </xf>
    <xf numFmtId="0" fontId="1" fillId="4" borderId="23" xfId="0" applyFont="1" applyFill="1" applyBorder="1" applyAlignment="1">
      <alignment horizontal="center" vertical="center" shrinkToFit="1"/>
    </xf>
    <xf numFmtId="0" fontId="1" fillId="4" borderId="0" xfId="0" applyFont="1" applyFill="1" applyAlignment="1">
      <alignment horizontal="center" vertical="center" shrinkToFit="1"/>
    </xf>
    <xf numFmtId="0" fontId="1" fillId="4" borderId="33" xfId="0" applyFont="1" applyFill="1" applyBorder="1" applyAlignment="1">
      <alignment horizontal="center" vertical="center" shrinkToFit="1"/>
    </xf>
    <xf numFmtId="0" fontId="1" fillId="5" borderId="23" xfId="0" applyFont="1" applyFill="1" applyBorder="1" applyAlignment="1">
      <alignment horizontal="center" vertical="center" shrinkToFit="1"/>
    </xf>
    <xf numFmtId="0" fontId="1" fillId="5" borderId="0" xfId="0" applyFont="1" applyFill="1" applyAlignment="1">
      <alignment horizontal="center" vertical="center" shrinkToFit="1"/>
    </xf>
    <xf numFmtId="0" fontId="1" fillId="5" borderId="33" xfId="0" applyFont="1" applyFill="1" applyBorder="1" applyAlignment="1">
      <alignment horizontal="center" vertical="center" shrinkToFit="1"/>
    </xf>
    <xf numFmtId="0" fontId="1" fillId="3" borderId="24" xfId="0" applyFont="1" applyFill="1" applyBorder="1" applyAlignment="1">
      <alignment horizontal="center" vertical="center" shrinkToFit="1"/>
    </xf>
    <xf numFmtId="0" fontId="1" fillId="3" borderId="32" xfId="0" applyFont="1" applyFill="1" applyBorder="1" applyAlignment="1">
      <alignment horizontal="center" vertical="center" shrinkToFit="1"/>
    </xf>
    <xf numFmtId="0" fontId="1" fillId="3" borderId="34" xfId="0" applyFont="1" applyFill="1" applyBorder="1" applyAlignment="1">
      <alignment horizontal="center" vertical="center" shrinkToFit="1"/>
    </xf>
    <xf numFmtId="0" fontId="1" fillId="7" borderId="23" xfId="0" applyFont="1" applyFill="1" applyBorder="1" applyAlignment="1">
      <alignment horizontal="center" vertical="center" shrinkToFit="1"/>
    </xf>
    <xf numFmtId="0" fontId="1" fillId="7" borderId="0" xfId="0" applyFont="1" applyFill="1" applyAlignment="1">
      <alignment horizontal="center" vertical="center" shrinkToFit="1"/>
    </xf>
    <xf numFmtId="0" fontId="1" fillId="7" borderId="33" xfId="0" applyFont="1" applyFill="1" applyBorder="1" applyAlignment="1">
      <alignment horizontal="center" vertical="center" shrinkToFit="1"/>
    </xf>
    <xf numFmtId="0" fontId="1" fillId="6" borderId="23" xfId="0" applyFont="1" applyFill="1" applyBorder="1" applyAlignment="1">
      <alignment horizontal="center" vertical="center" shrinkToFit="1"/>
    </xf>
    <xf numFmtId="0" fontId="1" fillId="6" borderId="0" xfId="0" applyFont="1" applyFill="1" applyAlignment="1">
      <alignment horizontal="center" vertical="center" shrinkToFit="1"/>
    </xf>
    <xf numFmtId="0" fontId="1" fillId="6" borderId="33" xfId="0" applyFont="1" applyFill="1" applyBorder="1" applyAlignment="1">
      <alignment horizontal="center" vertical="center" shrinkToFit="1"/>
    </xf>
    <xf numFmtId="0" fontId="7" fillId="5" borderId="0" xfId="0" applyFont="1" applyFill="1" applyAlignment="1">
      <alignment horizontal="center" vertical="center" shrinkToFit="1"/>
    </xf>
    <xf numFmtId="0" fontId="9" fillId="5" borderId="38" xfId="0" applyFont="1" applyFill="1" applyBorder="1" applyAlignment="1">
      <alignment horizontal="center" vertical="center" textRotation="255" shrinkToFit="1"/>
    </xf>
    <xf numFmtId="0" fontId="9" fillId="5" borderId="19" xfId="0" applyFont="1" applyFill="1" applyBorder="1" applyAlignment="1">
      <alignment horizontal="center" vertical="center" textRotation="255" shrinkToFit="1"/>
    </xf>
    <xf numFmtId="0" fontId="1" fillId="5" borderId="39" xfId="0" applyFont="1" applyFill="1" applyBorder="1" applyAlignment="1">
      <alignment horizontal="center" vertical="center" shrinkToFit="1"/>
    </xf>
    <xf numFmtId="0" fontId="1" fillId="5" borderId="5" xfId="0" applyFont="1" applyFill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9" fillId="0" borderId="32" xfId="0" applyFont="1" applyBorder="1" applyAlignment="1">
      <alignment horizontal="center" vertical="center" shrinkToFit="1"/>
    </xf>
    <xf numFmtId="0" fontId="9" fillId="0" borderId="34" xfId="0" applyFont="1" applyBorder="1" applyAlignment="1">
      <alignment horizontal="center" vertical="center" shrinkToFit="1"/>
    </xf>
    <xf numFmtId="0" fontId="9" fillId="5" borderId="49" xfId="0" applyFont="1" applyFill="1" applyBorder="1" applyAlignment="1">
      <alignment horizontal="center" vertical="center" textRotation="255" shrinkToFit="1"/>
    </xf>
    <xf numFmtId="0" fontId="9" fillId="5" borderId="37" xfId="0" applyFont="1" applyFill="1" applyBorder="1" applyAlignment="1">
      <alignment horizontal="center" vertical="center" textRotation="255" shrinkToFit="1"/>
    </xf>
    <xf numFmtId="0" fontId="1" fillId="0" borderId="39" xfId="0" applyFont="1" applyBorder="1" applyAlignment="1">
      <alignment horizontal="center" vertical="center" textRotation="255" shrinkToFit="1"/>
    </xf>
    <xf numFmtId="0" fontId="1" fillId="0" borderId="41" xfId="0" applyFont="1" applyBorder="1" applyAlignment="1">
      <alignment horizontal="center" vertical="center" textRotation="255" shrinkToFit="1"/>
    </xf>
    <xf numFmtId="0" fontId="1" fillId="0" borderId="5" xfId="0" applyFont="1" applyBorder="1" applyAlignment="1">
      <alignment horizontal="center" vertical="center" textRotation="255" shrinkToFit="1"/>
    </xf>
    <xf numFmtId="20" fontId="1" fillId="2" borderId="0" xfId="0" applyNumberFormat="1" applyFont="1" applyFill="1" applyAlignment="1">
      <alignment horizontal="center" vertical="center" shrinkToFit="1"/>
    </xf>
    <xf numFmtId="20" fontId="1" fillId="2" borderId="29" xfId="0" applyNumberFormat="1" applyFont="1" applyFill="1" applyBorder="1" applyAlignment="1">
      <alignment horizontal="center" vertical="center" shrinkToFit="1"/>
    </xf>
    <xf numFmtId="0" fontId="6" fillId="0" borderId="22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9" fillId="5" borderId="14" xfId="0" applyFont="1" applyFill="1" applyBorder="1" applyAlignment="1">
      <alignment vertical="center" wrapText="1" shrinkToFit="1"/>
    </xf>
    <xf numFmtId="0" fontId="10" fillId="5" borderId="1" xfId="0" applyFont="1" applyFill="1" applyBorder="1" applyAlignment="1">
      <alignment vertical="center" shrinkToFit="1"/>
    </xf>
    <xf numFmtId="0" fontId="9" fillId="5" borderId="15" xfId="0" applyFont="1" applyFill="1" applyBorder="1" applyAlignment="1">
      <alignment vertical="center" shrinkToFit="1"/>
    </xf>
    <xf numFmtId="0" fontId="10" fillId="5" borderId="3" xfId="0" applyFont="1" applyFill="1" applyBorder="1" applyAlignment="1">
      <alignment vertical="center" shrinkToFit="1"/>
    </xf>
    <xf numFmtId="0" fontId="1" fillId="0" borderId="22" xfId="0" applyFont="1" applyBorder="1" applyAlignment="1">
      <alignment horizontal="center" vertical="center" shrinkToFit="1"/>
    </xf>
    <xf numFmtId="0" fontId="1" fillId="0" borderId="45" xfId="0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0" fontId="1" fillId="5" borderId="16" xfId="0" applyFont="1" applyFill="1" applyBorder="1" applyAlignment="1" applyProtection="1">
      <alignment horizontal="left" vertical="center" shrinkToFit="1"/>
      <protection locked="0"/>
    </xf>
    <xf numFmtId="0" fontId="1" fillId="5" borderId="6" xfId="0" applyFont="1" applyFill="1" applyBorder="1" applyAlignment="1" applyProtection="1">
      <alignment horizontal="left" vertical="center" shrinkToFit="1"/>
      <protection locked="0"/>
    </xf>
    <xf numFmtId="0" fontId="1" fillId="0" borderId="24" xfId="0" applyFont="1" applyBorder="1" applyAlignment="1">
      <alignment horizontal="center" vertical="center" textRotation="255" shrinkToFit="1"/>
    </xf>
    <xf numFmtId="0" fontId="1" fillId="0" borderId="32" xfId="0" applyFont="1" applyBorder="1" applyAlignment="1">
      <alignment horizontal="center" vertical="center" textRotation="255" shrinkToFit="1"/>
    </xf>
    <xf numFmtId="0" fontId="1" fillId="0" borderId="34" xfId="0" applyFont="1" applyBorder="1" applyAlignment="1">
      <alignment horizontal="center" vertical="center" textRotation="255" shrinkToFit="1"/>
    </xf>
    <xf numFmtId="0" fontId="1" fillId="0" borderId="23" xfId="0" applyFont="1" applyBorder="1" applyAlignment="1">
      <alignment horizontal="center" vertical="center" textRotation="255" shrinkToFit="1"/>
    </xf>
    <xf numFmtId="0" fontId="1" fillId="0" borderId="0" xfId="0" applyFont="1" applyAlignment="1">
      <alignment horizontal="center" vertical="center" textRotation="255" shrinkToFit="1"/>
    </xf>
    <xf numFmtId="0" fontId="1" fillId="0" borderId="33" xfId="0" applyFont="1" applyBorder="1" applyAlignment="1">
      <alignment horizontal="center" vertical="center" textRotation="255" shrinkToFit="1"/>
    </xf>
    <xf numFmtId="0" fontId="1" fillId="0" borderId="35" xfId="0" applyFont="1" applyBorder="1" applyAlignment="1">
      <alignment horizontal="center" vertical="center" textRotation="255" shrinkToFit="1"/>
    </xf>
    <xf numFmtId="0" fontId="1" fillId="0" borderId="43" xfId="0" applyFont="1" applyBorder="1" applyAlignment="1">
      <alignment horizontal="center" vertical="center" textRotation="255" shrinkToFit="1"/>
    </xf>
    <xf numFmtId="0" fontId="1" fillId="0" borderId="36" xfId="0" applyFont="1" applyBorder="1" applyAlignment="1">
      <alignment horizontal="center" vertical="center" textRotation="255" shrinkToFit="1"/>
    </xf>
    <xf numFmtId="0" fontId="1" fillId="2" borderId="30" xfId="0" applyFont="1" applyFill="1" applyBorder="1" applyAlignment="1">
      <alignment horizontal="center" vertical="center" shrinkToFit="1"/>
    </xf>
    <xf numFmtId="0" fontId="1" fillId="2" borderId="31" xfId="0" applyFont="1" applyFill="1" applyBorder="1" applyAlignment="1">
      <alignment horizontal="center" vertical="center" shrinkToFit="1"/>
    </xf>
    <xf numFmtId="0" fontId="1" fillId="0" borderId="24" xfId="0" applyFont="1" applyBorder="1" applyAlignment="1" applyProtection="1">
      <alignment horizontal="center" vertical="center" textRotation="255" shrinkToFit="1"/>
      <protection locked="0"/>
    </xf>
    <xf numFmtId="0" fontId="1" fillId="0" borderId="34" xfId="0" applyFont="1" applyBorder="1" applyAlignment="1" applyProtection="1">
      <alignment horizontal="center" vertical="center" textRotation="255" shrinkToFit="1"/>
      <protection locked="0"/>
    </xf>
    <xf numFmtId="0" fontId="1" fillId="0" borderId="23" xfId="0" applyFont="1" applyBorder="1" applyAlignment="1" applyProtection="1">
      <alignment horizontal="center" vertical="center" textRotation="255" shrinkToFit="1"/>
      <protection locked="0"/>
    </xf>
    <xf numFmtId="0" fontId="1" fillId="0" borderId="33" xfId="0" applyFont="1" applyBorder="1" applyAlignment="1" applyProtection="1">
      <alignment horizontal="center" vertical="center" textRotation="255" shrinkToFit="1"/>
      <protection locked="0"/>
    </xf>
    <xf numFmtId="0" fontId="1" fillId="0" borderId="35" xfId="0" applyFont="1" applyBorder="1" applyAlignment="1" applyProtection="1">
      <alignment horizontal="center" vertical="center" textRotation="255" shrinkToFit="1"/>
      <protection locked="0"/>
    </xf>
    <xf numFmtId="0" fontId="1" fillId="0" borderId="36" xfId="0" applyFont="1" applyBorder="1" applyAlignment="1" applyProtection="1">
      <alignment horizontal="center" vertical="center" textRotation="255" shrinkToFit="1"/>
      <protection locked="0"/>
    </xf>
    <xf numFmtId="0" fontId="1" fillId="5" borderId="48" xfId="0" applyFont="1" applyFill="1" applyBorder="1" applyAlignment="1">
      <alignment horizontal="left" vertical="center" shrinkToFit="1"/>
    </xf>
    <xf numFmtId="0" fontId="1" fillId="5" borderId="18" xfId="0" applyFont="1" applyFill="1" applyBorder="1" applyAlignment="1">
      <alignment horizontal="left" vertical="center" shrinkToFit="1"/>
    </xf>
    <xf numFmtId="0" fontId="6" fillId="0" borderId="20" xfId="0" applyFont="1" applyBorder="1" applyAlignment="1">
      <alignment horizontal="distributed" vertical="center" indent="2" shrinkToFit="1"/>
    </xf>
    <xf numFmtId="0" fontId="6" fillId="0" borderId="21" xfId="0" applyFont="1" applyBorder="1" applyAlignment="1">
      <alignment horizontal="distributed" vertical="center" indent="2" shrinkToFit="1"/>
    </xf>
    <xf numFmtId="176" fontId="8" fillId="5" borderId="0" xfId="0" applyNumberFormat="1" applyFont="1" applyFill="1" applyAlignment="1">
      <alignment vertical="center"/>
    </xf>
    <xf numFmtId="176" fontId="8" fillId="5" borderId="0" xfId="0" applyNumberFormat="1" applyFont="1" applyFill="1" applyAlignment="1">
      <alignment horizontal="center" vertical="center"/>
    </xf>
    <xf numFmtId="0" fontId="8" fillId="5" borderId="0" xfId="0" applyNumberFormat="1" applyFont="1" applyFill="1" applyAlignment="1">
      <alignment vertical="center"/>
    </xf>
    <xf numFmtId="0" fontId="14" fillId="0" borderId="0" xfId="0" applyFont="1">
      <alignment vertical="center"/>
    </xf>
    <xf numFmtId="0" fontId="14" fillId="0" borderId="33" xfId="0" applyFont="1" applyBorder="1" applyAlignment="1">
      <alignment horizontal="center" vertical="center"/>
    </xf>
    <xf numFmtId="0" fontId="11" fillId="0" borderId="7" xfId="0" applyFont="1" applyFill="1" applyBorder="1" applyAlignment="1" applyProtection="1">
      <alignment horizontal="center" vertical="center" shrinkToFit="1"/>
      <protection locked="0"/>
    </xf>
    <xf numFmtId="0" fontId="11" fillId="9" borderId="7" xfId="0" applyFont="1" applyFill="1" applyBorder="1" applyAlignment="1" applyProtection="1">
      <alignment horizontal="center" vertical="center" shrinkToFi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AE78D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0338-2152-4030-B1FF-C5FA312CDBE0}">
  <dimension ref="A1:DN45"/>
  <sheetViews>
    <sheetView tabSelected="1" zoomScale="98" zoomScaleNormal="108" workbookViewId="0">
      <selection activeCell="B10" sqref="B10:C10"/>
    </sheetView>
  </sheetViews>
  <sheetFormatPr defaultColWidth="4.19921875" defaultRowHeight="18"/>
  <cols>
    <col min="1" max="1" width="2.3984375" style="134" customWidth="1"/>
    <col min="2" max="3" width="5.59765625" customWidth="1"/>
    <col min="4" max="36" width="3.5" customWidth="1"/>
    <col min="37" max="37" width="3.69921875" customWidth="1"/>
  </cols>
  <sheetData>
    <row r="1" spans="1:118">
      <c r="B1" s="132">
        <v>46204</v>
      </c>
      <c r="C1" s="132"/>
      <c r="D1" s="131" t="s">
        <v>68</v>
      </c>
      <c r="E1" s="133"/>
      <c r="F1" s="133">
        <v>9</v>
      </c>
      <c r="G1" s="23" t="s">
        <v>69</v>
      </c>
      <c r="H1" s="23"/>
      <c r="I1" s="23"/>
      <c r="J1" s="82" t="s">
        <v>0</v>
      </c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45"/>
      <c r="AA1" s="45"/>
      <c r="AB1" s="45"/>
      <c r="AC1" s="42"/>
      <c r="AD1" s="42"/>
      <c r="AE1" s="64" t="s">
        <v>1</v>
      </c>
      <c r="AF1" s="65"/>
      <c r="AG1" s="64"/>
      <c r="AH1" s="66"/>
      <c r="AI1" s="66"/>
      <c r="AJ1" s="66"/>
      <c r="AK1" s="65"/>
      <c r="AL1" s="1"/>
      <c r="AM1" s="1"/>
    </row>
    <row r="2" spans="1:118" ht="9.6" customHeight="1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2"/>
      <c r="AM2" s="2"/>
    </row>
    <row r="3" spans="1:118" ht="15" customHeight="1">
      <c r="B3" s="101" t="s">
        <v>2</v>
      </c>
      <c r="C3" s="102"/>
      <c r="D3" s="15">
        <f>B1</f>
        <v>46204</v>
      </c>
      <c r="E3" s="15">
        <f>D3+1</f>
        <v>46205</v>
      </c>
      <c r="F3" s="15">
        <f t="shared" ref="F3" si="0">E3+1</f>
        <v>46206</v>
      </c>
      <c r="G3" s="27">
        <f t="shared" ref="G3" si="1">F3+1</f>
        <v>46207</v>
      </c>
      <c r="H3" s="30">
        <f t="shared" ref="H3" si="2">G3+1</f>
        <v>46208</v>
      </c>
      <c r="I3" s="15">
        <f t="shared" ref="I3" si="3">H3+1</f>
        <v>46209</v>
      </c>
      <c r="J3" s="15">
        <f t="shared" ref="J3" si="4">I3+1</f>
        <v>46210</v>
      </c>
      <c r="K3" s="15">
        <f t="shared" ref="K3" si="5">J3+1</f>
        <v>46211</v>
      </c>
      <c r="L3" s="15">
        <f t="shared" ref="L3" si="6">K3+1</f>
        <v>46212</v>
      </c>
      <c r="M3" s="15">
        <f t="shared" ref="M3" si="7">L3+1</f>
        <v>46213</v>
      </c>
      <c r="N3" s="27">
        <f t="shared" ref="N3" si="8">M3+1</f>
        <v>46214</v>
      </c>
      <c r="O3" s="30">
        <f t="shared" ref="O3" si="9">N3+1</f>
        <v>46215</v>
      </c>
      <c r="P3" s="15">
        <f t="shared" ref="P3" si="10">O3+1</f>
        <v>46216</v>
      </c>
      <c r="Q3" s="15">
        <f t="shared" ref="Q3" si="11">P3+1</f>
        <v>46217</v>
      </c>
      <c r="R3" s="15">
        <f t="shared" ref="R3" si="12">Q3+1</f>
        <v>46218</v>
      </c>
      <c r="S3" s="15">
        <f t="shared" ref="S3" si="13">R3+1</f>
        <v>46219</v>
      </c>
      <c r="T3" s="15">
        <f t="shared" ref="T3" si="14">S3+1</f>
        <v>46220</v>
      </c>
      <c r="U3" s="27">
        <f t="shared" ref="U3" si="15">T3+1</f>
        <v>46221</v>
      </c>
      <c r="V3" s="30">
        <f t="shared" ref="V3" si="16">U3+1</f>
        <v>46222</v>
      </c>
      <c r="W3" s="30">
        <f t="shared" ref="W3" si="17">V3+1</f>
        <v>46223</v>
      </c>
      <c r="X3" s="15">
        <f t="shared" ref="X3" si="18">W3+1</f>
        <v>46224</v>
      </c>
      <c r="Y3" s="15">
        <f t="shared" ref="Y3" si="19">X3+1</f>
        <v>46225</v>
      </c>
      <c r="Z3" s="15">
        <f t="shared" ref="Z3" si="20">Y3+1</f>
        <v>46226</v>
      </c>
      <c r="AA3" s="15">
        <f t="shared" ref="AA3" si="21">Z3+1</f>
        <v>46227</v>
      </c>
      <c r="AB3" s="27">
        <f t="shared" ref="AB3" si="22">AA3+1</f>
        <v>46228</v>
      </c>
      <c r="AC3" s="30">
        <f t="shared" ref="AC3" si="23">AB3+1</f>
        <v>46229</v>
      </c>
      <c r="AD3" s="15">
        <f t="shared" ref="AD3" si="24">AC3+1</f>
        <v>46230</v>
      </c>
      <c r="AE3" s="15">
        <f t="shared" ref="AE3" si="25">AD3+1</f>
        <v>46231</v>
      </c>
      <c r="AF3" s="15">
        <v>29</v>
      </c>
      <c r="AG3" s="15">
        <v>30</v>
      </c>
      <c r="AH3" s="15">
        <v>31</v>
      </c>
      <c r="AI3" s="90" t="s">
        <v>3</v>
      </c>
      <c r="AJ3" s="83" t="s">
        <v>4</v>
      </c>
      <c r="AK3" s="85" t="s">
        <v>5</v>
      </c>
      <c r="AL3" s="1"/>
      <c r="AM3" s="1"/>
    </row>
    <row r="4" spans="1:118" ht="15" customHeight="1" thickBot="1">
      <c r="B4" s="103"/>
      <c r="C4" s="104"/>
      <c r="D4" s="16" t="s">
        <v>49</v>
      </c>
      <c r="E4" s="16" t="s">
        <v>50</v>
      </c>
      <c r="F4" s="16" t="s">
        <v>51</v>
      </c>
      <c r="G4" s="28" t="s">
        <v>52</v>
      </c>
      <c r="H4" s="31" t="s">
        <v>53</v>
      </c>
      <c r="I4" s="16" t="s">
        <v>54</v>
      </c>
      <c r="J4" s="16" t="s">
        <v>48</v>
      </c>
      <c r="K4" s="16" t="s">
        <v>49</v>
      </c>
      <c r="L4" s="16" t="s">
        <v>50</v>
      </c>
      <c r="M4" s="16" t="s">
        <v>51</v>
      </c>
      <c r="N4" s="28" t="s">
        <v>52</v>
      </c>
      <c r="O4" s="31" t="s">
        <v>53</v>
      </c>
      <c r="P4" s="16" t="s">
        <v>54</v>
      </c>
      <c r="Q4" s="16" t="s">
        <v>48</v>
      </c>
      <c r="R4" s="16" t="s">
        <v>49</v>
      </c>
      <c r="S4" s="16" t="s">
        <v>50</v>
      </c>
      <c r="T4" s="16" t="s">
        <v>51</v>
      </c>
      <c r="U4" s="28" t="s">
        <v>52</v>
      </c>
      <c r="V4" s="31" t="s">
        <v>53</v>
      </c>
      <c r="W4" s="31" t="s">
        <v>54</v>
      </c>
      <c r="X4" s="16" t="s">
        <v>48</v>
      </c>
      <c r="Y4" s="16" t="s">
        <v>49</v>
      </c>
      <c r="Z4" s="16" t="s">
        <v>50</v>
      </c>
      <c r="AA4" s="16" t="s">
        <v>51</v>
      </c>
      <c r="AB4" s="28" t="s">
        <v>52</v>
      </c>
      <c r="AC4" s="31" t="s">
        <v>53</v>
      </c>
      <c r="AD4" s="16" t="s">
        <v>54</v>
      </c>
      <c r="AE4" s="16" t="s">
        <v>48</v>
      </c>
      <c r="AF4" s="16" t="s">
        <v>65</v>
      </c>
      <c r="AG4" s="16" t="s">
        <v>57</v>
      </c>
      <c r="AH4" s="16" t="s">
        <v>66</v>
      </c>
      <c r="AI4" s="91"/>
      <c r="AJ4" s="84"/>
      <c r="AK4" s="86"/>
      <c r="AL4" s="1"/>
      <c r="AM4" s="1"/>
    </row>
    <row r="5" spans="1:118" ht="15" customHeight="1" thickTop="1">
      <c r="A5" s="135">
        <v>1</v>
      </c>
      <c r="B5" s="108"/>
      <c r="C5" s="109"/>
      <c r="D5" s="17"/>
      <c r="E5" s="17"/>
      <c r="F5" s="37" t="s">
        <v>61</v>
      </c>
      <c r="G5" s="29"/>
      <c r="H5" s="32" t="s">
        <v>58</v>
      </c>
      <c r="I5" s="17"/>
      <c r="J5" s="37"/>
      <c r="K5" s="37" t="s">
        <v>58</v>
      </c>
      <c r="L5" s="17"/>
      <c r="M5" s="17"/>
      <c r="N5" s="29"/>
      <c r="O5" s="32" t="s">
        <v>58</v>
      </c>
      <c r="P5" s="37" t="s">
        <v>58</v>
      </c>
      <c r="Q5" s="37" t="s">
        <v>55</v>
      </c>
      <c r="R5" s="37" t="s">
        <v>59</v>
      </c>
      <c r="S5" s="17"/>
      <c r="T5" s="17"/>
      <c r="U5" s="29"/>
      <c r="V5" s="32" t="s">
        <v>58</v>
      </c>
      <c r="W5" s="32" t="s">
        <v>58</v>
      </c>
      <c r="X5" s="17"/>
      <c r="Y5" s="17"/>
      <c r="Z5" s="17"/>
      <c r="AA5" s="17"/>
      <c r="AB5" s="29"/>
      <c r="AC5" s="137" t="s">
        <v>55</v>
      </c>
      <c r="AD5" s="17"/>
      <c r="AE5" s="37" t="s">
        <v>58</v>
      </c>
      <c r="AF5" s="17"/>
      <c r="AG5" s="17"/>
      <c r="AH5" s="47"/>
      <c r="AI5" s="21">
        <f>COUNTIF($D5:$AH5,"A")+COUNTIF($D5:$AH5,"A1")</f>
        <v>2</v>
      </c>
      <c r="AJ5" s="18">
        <f>COUNTIF($D5:$AH5,"D")+COUNTIF($D5:$AH5,"D1")+COUNTIF($D5:$AH5,"E")+COUNTIF($D5:$AH5,"E１")+COUNTIF($D5:$AH5,"F")</f>
        <v>0</v>
      </c>
      <c r="AK5" s="43">
        <f>COUNTIF($D5:$AH5,"休")+0.5*(COUNTIF($D5:$AH5,"A1"))+0.5*(COUNTIF($D5:$AH5,"A2"))+0.5*(COUNTIF($D5:$AH5,"B1"))+0.5*(COUNTIF($D5:$AH5,"C1"))+0.5*(COUNTIF($D5:$AH5,"C2"))+0.5*(COUNTIF($D5:$AH5,"E1"))+0.5*(COUNTIF($D5:$AH5,"D1"))</f>
        <v>7</v>
      </c>
      <c r="AL5" s="7" t="s">
        <v>6</v>
      </c>
      <c r="AM5" s="55" t="s">
        <v>7</v>
      </c>
      <c r="AN5" s="55"/>
      <c r="AO5" s="56"/>
    </row>
    <row r="6" spans="1:118" ht="15" customHeight="1">
      <c r="A6" s="135">
        <v>2</v>
      </c>
      <c r="B6" s="62"/>
      <c r="C6" s="63"/>
      <c r="D6" s="17"/>
      <c r="E6" s="17"/>
      <c r="F6" s="17"/>
      <c r="G6" s="29"/>
      <c r="H6" s="32" t="s">
        <v>58</v>
      </c>
      <c r="I6" s="17"/>
      <c r="J6" s="17"/>
      <c r="K6" s="17"/>
      <c r="L6" s="17"/>
      <c r="M6" s="37" t="s">
        <v>58</v>
      </c>
      <c r="N6" s="29"/>
      <c r="O6" s="32" t="s">
        <v>58</v>
      </c>
      <c r="P6" s="17"/>
      <c r="Q6" s="17"/>
      <c r="R6" s="17"/>
      <c r="S6" s="37" t="s">
        <v>58</v>
      </c>
      <c r="T6" s="17"/>
      <c r="U6" s="29"/>
      <c r="V6" s="32" t="s">
        <v>58</v>
      </c>
      <c r="W6" s="32" t="s">
        <v>58</v>
      </c>
      <c r="X6" s="17"/>
      <c r="Y6" s="17"/>
      <c r="Z6" s="17"/>
      <c r="AA6" s="17"/>
      <c r="AB6" s="29"/>
      <c r="AC6" s="137" t="s">
        <v>55</v>
      </c>
      <c r="AD6" s="37" t="s">
        <v>58</v>
      </c>
      <c r="AE6" s="17"/>
      <c r="AF6" s="17"/>
      <c r="AG6" s="17"/>
      <c r="AH6" s="47"/>
      <c r="AI6" s="21">
        <f t="shared" ref="AI6:AI19" si="26">COUNTIF($D6:$AH6,"A")+COUNTIF($D6:$AH6,"A1")</f>
        <v>1</v>
      </c>
      <c r="AJ6" s="19">
        <f t="shared" ref="AJ6:AJ19" si="27">COUNTIF($D6:$AH6,"D")+COUNTIF($D6:$AH6,"D1")+COUNTIF($D6:$AH6,"E")+COUNTIF($D6:$AH6,"E１")+COUNTIF($D6:$AH6,"F")</f>
        <v>0</v>
      </c>
      <c r="AK6" s="43">
        <f>COUNTIF($D6:$AH6,"休")+0.5*(COUNTIF($D6:$AH6,"A1"))+0.5*(COUNTIF($D6:$AH6,"A2"))+0.5*(COUNTIF($D6:$AH6,"B1"))+0.5*(COUNTIF($D6:$AH6,"C1"))+0.5*(COUNTIF($D6:$AH6,"C2"))+0.5*(COUNTIF($D6:$AH6,"E1"))+0.5*(COUNTIF($D6:$AH6,"D1"))</f>
        <v>7</v>
      </c>
      <c r="AL6" s="8" t="s">
        <v>8</v>
      </c>
      <c r="AM6" s="57" t="s">
        <v>9</v>
      </c>
      <c r="AN6" s="57"/>
      <c r="AO6" s="58"/>
    </row>
    <row r="7" spans="1:118" ht="15" customHeight="1">
      <c r="A7" s="135">
        <v>3</v>
      </c>
      <c r="B7" s="62"/>
      <c r="C7" s="63"/>
      <c r="D7" s="37" t="s">
        <v>56</v>
      </c>
      <c r="E7" s="17" t="s">
        <v>59</v>
      </c>
      <c r="F7" s="37" t="s">
        <v>60</v>
      </c>
      <c r="G7" s="38" t="s">
        <v>56</v>
      </c>
      <c r="H7" s="32" t="s">
        <v>58</v>
      </c>
      <c r="I7" s="37" t="s">
        <v>60</v>
      </c>
      <c r="J7" s="17" t="s">
        <v>56</v>
      </c>
      <c r="K7" s="37" t="s">
        <v>55</v>
      </c>
      <c r="L7" s="17" t="s">
        <v>59</v>
      </c>
      <c r="M7" s="37" t="s">
        <v>56</v>
      </c>
      <c r="N7" s="38" t="s">
        <v>58</v>
      </c>
      <c r="O7" s="32" t="s">
        <v>58</v>
      </c>
      <c r="P7" s="17" t="s">
        <v>59</v>
      </c>
      <c r="Q7" s="37" t="s">
        <v>56</v>
      </c>
      <c r="R7" s="37" t="s">
        <v>55</v>
      </c>
      <c r="S7" s="17" t="s">
        <v>59</v>
      </c>
      <c r="T7" s="37" t="s">
        <v>58</v>
      </c>
      <c r="U7" s="29"/>
      <c r="V7" s="32" t="s">
        <v>58</v>
      </c>
      <c r="W7" s="32" t="s">
        <v>58</v>
      </c>
      <c r="X7" s="37" t="s">
        <v>56</v>
      </c>
      <c r="Y7" s="37" t="s">
        <v>55</v>
      </c>
      <c r="Z7" s="17" t="s">
        <v>59</v>
      </c>
      <c r="AA7" s="37" t="s">
        <v>56</v>
      </c>
      <c r="AB7" s="38" t="s">
        <v>58</v>
      </c>
      <c r="AC7" s="32" t="s">
        <v>58</v>
      </c>
      <c r="AD7" s="37" t="s">
        <v>56</v>
      </c>
      <c r="AE7" s="17" t="s">
        <v>59</v>
      </c>
      <c r="AF7" s="37" t="s">
        <v>55</v>
      </c>
      <c r="AG7" s="17" t="s">
        <v>59</v>
      </c>
      <c r="AH7" s="47" t="s">
        <v>59</v>
      </c>
      <c r="AI7" s="21">
        <f t="shared" si="26"/>
        <v>6</v>
      </c>
      <c r="AJ7" s="19">
        <f t="shared" si="27"/>
        <v>8</v>
      </c>
      <c r="AK7" s="43">
        <f t="shared" ref="AK7:AK19" si="28">COUNTIF($D7:$AH7,"休")+0.5*(COUNTIF($D7:$AH7,"A1"))+0.5*(COUNTIF($D7:$AH7,"A2"))+0.5*(COUNTIF($D7:$AH7,"B1"))+0.5*(COUNTIF($D7:$AH7,"C1"))+0.5*(COUNTIF($D7:$AH7,"C2"))+0.5*(COUNTIF($D7:$AH7,"E1"))+0.5*(COUNTIF($D7:$AH7,"D1"))</f>
        <v>9</v>
      </c>
      <c r="AL7" s="8" t="s">
        <v>10</v>
      </c>
      <c r="AM7" s="57" t="s">
        <v>11</v>
      </c>
      <c r="AN7" s="57"/>
      <c r="AO7" s="58"/>
    </row>
    <row r="8" spans="1:118" ht="15" customHeight="1">
      <c r="A8" s="135">
        <v>4</v>
      </c>
      <c r="B8" s="62"/>
      <c r="C8" s="63"/>
      <c r="D8" s="17" t="s">
        <v>67</v>
      </c>
      <c r="E8" s="17" t="s">
        <v>67</v>
      </c>
      <c r="F8" s="17"/>
      <c r="G8" s="29"/>
      <c r="H8" s="32" t="s">
        <v>58</v>
      </c>
      <c r="I8" s="17"/>
      <c r="J8" s="17" t="s">
        <v>67</v>
      </c>
      <c r="K8" s="17"/>
      <c r="L8" s="17" t="s">
        <v>67</v>
      </c>
      <c r="M8" s="17" t="s">
        <v>67</v>
      </c>
      <c r="N8" s="29"/>
      <c r="O8" s="32" t="s">
        <v>58</v>
      </c>
      <c r="P8" s="17"/>
      <c r="Q8" s="17" t="s">
        <v>67</v>
      </c>
      <c r="R8" s="17" t="s">
        <v>67</v>
      </c>
      <c r="S8" s="17"/>
      <c r="T8" s="17" t="s">
        <v>67</v>
      </c>
      <c r="U8" s="29"/>
      <c r="V8" s="32" t="s">
        <v>58</v>
      </c>
      <c r="W8" s="32" t="s">
        <v>58</v>
      </c>
      <c r="X8" s="17" t="s">
        <v>67</v>
      </c>
      <c r="Y8" s="17" t="s">
        <v>67</v>
      </c>
      <c r="Z8" s="17"/>
      <c r="AA8" s="17" t="s">
        <v>67</v>
      </c>
      <c r="AB8" s="29"/>
      <c r="AC8" s="32"/>
      <c r="AD8" s="17"/>
      <c r="AE8" s="17" t="s">
        <v>67</v>
      </c>
      <c r="AF8" s="17"/>
      <c r="AG8" s="17" t="s">
        <v>67</v>
      </c>
      <c r="AH8" s="47" t="s">
        <v>67</v>
      </c>
      <c r="AI8" s="21">
        <f t="shared" si="26"/>
        <v>0</v>
      </c>
      <c r="AJ8" s="19">
        <f t="shared" si="27"/>
        <v>0</v>
      </c>
      <c r="AK8" s="43">
        <f t="shared" si="28"/>
        <v>4</v>
      </c>
      <c r="AL8" s="8" t="s">
        <v>12</v>
      </c>
      <c r="AM8" s="57" t="s">
        <v>13</v>
      </c>
      <c r="AN8" s="57"/>
      <c r="AO8" s="58"/>
    </row>
    <row r="9" spans="1:118" ht="15" customHeight="1">
      <c r="A9" s="135">
        <v>5</v>
      </c>
      <c r="B9" s="62"/>
      <c r="C9" s="63"/>
      <c r="D9" s="17"/>
      <c r="E9" s="17"/>
      <c r="F9" s="17"/>
      <c r="G9" s="29"/>
      <c r="H9" s="32"/>
      <c r="I9" s="17"/>
      <c r="J9" s="17"/>
      <c r="K9" s="17"/>
      <c r="L9" s="17"/>
      <c r="M9" s="17"/>
      <c r="N9" s="29"/>
      <c r="O9" s="32"/>
      <c r="P9" s="17"/>
      <c r="Q9" s="17"/>
      <c r="R9" s="17"/>
      <c r="S9" s="17"/>
      <c r="T9" s="17"/>
      <c r="U9" s="49"/>
      <c r="V9" s="32"/>
      <c r="W9" s="32"/>
      <c r="X9" s="17"/>
      <c r="Y9" s="17"/>
      <c r="Z9" s="17"/>
      <c r="AA9" s="17"/>
      <c r="AB9" s="38"/>
      <c r="AC9" s="32"/>
      <c r="AD9" s="17"/>
      <c r="AE9" s="17"/>
      <c r="AF9" s="17"/>
      <c r="AG9" s="17"/>
      <c r="AH9" s="47"/>
      <c r="AI9" s="21">
        <f t="shared" si="26"/>
        <v>0</v>
      </c>
      <c r="AJ9" s="19">
        <f t="shared" si="27"/>
        <v>0</v>
      </c>
      <c r="AK9" s="43">
        <f t="shared" si="28"/>
        <v>0</v>
      </c>
      <c r="AL9" s="8" t="s">
        <v>14</v>
      </c>
      <c r="AM9" s="57" t="s">
        <v>15</v>
      </c>
      <c r="AN9" s="57"/>
      <c r="AO9" s="58"/>
    </row>
    <row r="10" spans="1:118" ht="15" customHeight="1">
      <c r="A10" s="135">
        <v>6</v>
      </c>
      <c r="B10" s="62"/>
      <c r="C10" s="63"/>
      <c r="D10" s="17"/>
      <c r="E10" s="17"/>
      <c r="F10" s="17"/>
      <c r="G10" s="29"/>
      <c r="H10" s="32" t="s">
        <v>58</v>
      </c>
      <c r="I10" s="17"/>
      <c r="J10" s="37" t="s">
        <v>59</v>
      </c>
      <c r="K10" s="37" t="s">
        <v>56</v>
      </c>
      <c r="L10" s="17"/>
      <c r="M10" s="37" t="s">
        <v>59</v>
      </c>
      <c r="N10" s="29"/>
      <c r="O10" s="32" t="s">
        <v>58</v>
      </c>
      <c r="P10" s="17"/>
      <c r="Q10" s="37" t="s">
        <v>58</v>
      </c>
      <c r="R10" s="17"/>
      <c r="S10" s="17"/>
      <c r="T10" s="17"/>
      <c r="U10" s="29"/>
      <c r="V10" s="32" t="s">
        <v>58</v>
      </c>
      <c r="W10" s="32" t="s">
        <v>58</v>
      </c>
      <c r="X10" s="17"/>
      <c r="Y10" s="37" t="s">
        <v>58</v>
      </c>
      <c r="Z10" s="17"/>
      <c r="AA10" s="17"/>
      <c r="AB10" s="29"/>
      <c r="AC10" s="137" t="s">
        <v>55</v>
      </c>
      <c r="AD10" s="17"/>
      <c r="AE10" s="37" t="s">
        <v>58</v>
      </c>
      <c r="AF10" s="17"/>
      <c r="AG10" s="17"/>
      <c r="AH10" s="47"/>
      <c r="AI10" s="21">
        <f t="shared" si="26"/>
        <v>1</v>
      </c>
      <c r="AJ10" s="19">
        <f t="shared" si="27"/>
        <v>1</v>
      </c>
      <c r="AK10" s="43">
        <f t="shared" si="28"/>
        <v>7</v>
      </c>
      <c r="AL10" s="8" t="s">
        <v>16</v>
      </c>
      <c r="AM10" s="57" t="s">
        <v>17</v>
      </c>
      <c r="AN10" s="57"/>
      <c r="AO10" s="58"/>
    </row>
    <row r="11" spans="1:118" s="42" customFormat="1" ht="15.75" customHeight="1">
      <c r="A11" s="135">
        <v>7</v>
      </c>
      <c r="B11" s="62"/>
      <c r="C11" s="63"/>
      <c r="D11" s="17"/>
      <c r="E11" s="17"/>
      <c r="F11" s="17"/>
      <c r="G11" s="29"/>
      <c r="H11" s="32" t="s">
        <v>58</v>
      </c>
      <c r="I11" s="17"/>
      <c r="J11" s="37" t="s">
        <v>58</v>
      </c>
      <c r="K11" s="17"/>
      <c r="L11" s="37" t="s">
        <v>55</v>
      </c>
      <c r="M11" s="17"/>
      <c r="N11" s="29"/>
      <c r="O11" s="32" t="s">
        <v>58</v>
      </c>
      <c r="P11" s="37" t="s">
        <v>58</v>
      </c>
      <c r="Q11" s="37" t="s">
        <v>58</v>
      </c>
      <c r="R11" s="17"/>
      <c r="S11" s="17"/>
      <c r="T11" s="17"/>
      <c r="U11" s="29"/>
      <c r="V11" s="32" t="s">
        <v>58</v>
      </c>
      <c r="W11" s="32" t="s">
        <v>58</v>
      </c>
      <c r="X11" s="17"/>
      <c r="Y11" s="17"/>
      <c r="Z11" s="17"/>
      <c r="AA11" s="17"/>
      <c r="AB11" s="29"/>
      <c r="AC11" s="137" t="s">
        <v>55</v>
      </c>
      <c r="AD11" s="17"/>
      <c r="AE11" s="17"/>
      <c r="AF11" s="17"/>
      <c r="AG11" s="17"/>
      <c r="AH11" s="47"/>
      <c r="AI11" s="21">
        <f t="shared" si="26"/>
        <v>2</v>
      </c>
      <c r="AJ11" s="19">
        <f t="shared" si="27"/>
        <v>0</v>
      </c>
      <c r="AK11" s="43">
        <f t="shared" si="28"/>
        <v>7</v>
      </c>
      <c r="AL11" s="8" t="s">
        <v>18</v>
      </c>
      <c r="AM11" s="57" t="s">
        <v>19</v>
      </c>
      <c r="AN11" s="57"/>
      <c r="AO11" s="58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</row>
    <row r="12" spans="1:118" ht="15" customHeight="1">
      <c r="A12" s="135">
        <v>8</v>
      </c>
      <c r="B12" s="62"/>
      <c r="C12" s="63"/>
      <c r="D12" s="17"/>
      <c r="E12" s="17"/>
      <c r="F12" s="17"/>
      <c r="G12" s="29"/>
      <c r="H12" s="32"/>
      <c r="I12" s="17"/>
      <c r="J12" s="17"/>
      <c r="K12" s="17"/>
      <c r="L12" s="17"/>
      <c r="M12" s="17"/>
      <c r="N12" s="29"/>
      <c r="O12" s="32"/>
      <c r="P12" s="17"/>
      <c r="Q12" s="17"/>
      <c r="R12" s="17"/>
      <c r="S12" s="17"/>
      <c r="T12" s="17"/>
      <c r="U12" s="29"/>
      <c r="V12" s="32"/>
      <c r="W12" s="32"/>
      <c r="X12" s="17"/>
      <c r="Y12" s="17"/>
      <c r="Z12" s="17"/>
      <c r="AA12" s="17"/>
      <c r="AB12" s="38"/>
      <c r="AC12" s="137"/>
      <c r="AD12" s="37"/>
      <c r="AE12" s="17"/>
      <c r="AF12" s="17"/>
      <c r="AG12" s="17"/>
      <c r="AH12" s="47"/>
      <c r="AI12" s="21">
        <f t="shared" si="26"/>
        <v>0</v>
      </c>
      <c r="AJ12" s="19">
        <f t="shared" si="27"/>
        <v>0</v>
      </c>
      <c r="AK12" s="43">
        <f t="shared" si="28"/>
        <v>0</v>
      </c>
      <c r="AL12" s="8" t="s">
        <v>20</v>
      </c>
      <c r="AM12" s="57" t="s">
        <v>21</v>
      </c>
      <c r="AN12" s="57"/>
      <c r="AO12" s="58"/>
    </row>
    <row r="13" spans="1:118" ht="15" customHeight="1">
      <c r="A13" s="135">
        <v>9</v>
      </c>
      <c r="B13" s="62"/>
      <c r="C13" s="63"/>
      <c r="D13" s="39"/>
      <c r="E13" s="39"/>
      <c r="F13" s="17"/>
      <c r="G13" s="29"/>
      <c r="H13" s="32" t="s">
        <v>58</v>
      </c>
      <c r="I13" s="37" t="s">
        <v>58</v>
      </c>
      <c r="J13" s="17"/>
      <c r="K13" s="17"/>
      <c r="L13" s="17"/>
      <c r="M13" s="17"/>
      <c r="N13" s="29" t="s">
        <v>58</v>
      </c>
      <c r="O13" s="32" t="s">
        <v>58</v>
      </c>
      <c r="P13" s="17"/>
      <c r="Q13" s="136" t="s">
        <v>59</v>
      </c>
      <c r="R13" s="39"/>
      <c r="S13" s="17"/>
      <c r="T13" s="17"/>
      <c r="U13" s="29"/>
      <c r="V13" s="32" t="s">
        <v>58</v>
      </c>
      <c r="W13" s="32" t="s">
        <v>58</v>
      </c>
      <c r="X13" s="17"/>
      <c r="Y13" s="17"/>
      <c r="Z13" s="17"/>
      <c r="AA13" s="37" t="s">
        <v>61</v>
      </c>
      <c r="AB13" s="38" t="s">
        <v>58</v>
      </c>
      <c r="AC13" s="137" t="s">
        <v>55</v>
      </c>
      <c r="AD13" s="17"/>
      <c r="AE13" s="17"/>
      <c r="AF13" s="17"/>
      <c r="AG13" s="17"/>
      <c r="AH13" s="50" t="s">
        <v>58</v>
      </c>
      <c r="AI13" s="21">
        <f t="shared" si="26"/>
        <v>1</v>
      </c>
      <c r="AJ13" s="19">
        <f t="shared" si="27"/>
        <v>0</v>
      </c>
      <c r="AK13" s="43">
        <f t="shared" si="28"/>
        <v>8</v>
      </c>
      <c r="AL13" s="8" t="s">
        <v>22</v>
      </c>
      <c r="AM13" s="95" t="s">
        <v>23</v>
      </c>
      <c r="AN13" s="95"/>
      <c r="AO13" s="96"/>
    </row>
    <row r="14" spans="1:118" ht="15" customHeight="1">
      <c r="A14" s="135">
        <v>10</v>
      </c>
      <c r="B14" s="62"/>
      <c r="C14" s="63"/>
      <c r="D14" s="17"/>
      <c r="E14" s="17"/>
      <c r="F14" s="17"/>
      <c r="G14" s="29"/>
      <c r="H14" s="32"/>
      <c r="I14" s="17"/>
      <c r="J14" s="17"/>
      <c r="K14" s="17"/>
      <c r="L14" s="17"/>
      <c r="M14" s="17"/>
      <c r="N14" s="29"/>
      <c r="O14" s="32"/>
      <c r="P14" s="17"/>
      <c r="Q14" s="17"/>
      <c r="R14" s="17"/>
      <c r="S14" s="17"/>
      <c r="T14" s="17"/>
      <c r="U14" s="29"/>
      <c r="V14" s="32"/>
      <c r="W14" s="32"/>
      <c r="X14" s="17"/>
      <c r="Y14" s="17"/>
      <c r="Z14" s="17"/>
      <c r="AA14" s="17"/>
      <c r="AB14" s="29"/>
      <c r="AC14" s="32"/>
      <c r="AD14" s="17"/>
      <c r="AE14" s="17"/>
      <c r="AF14" s="17"/>
      <c r="AG14" s="17"/>
      <c r="AH14" s="47"/>
      <c r="AI14" s="21">
        <f t="shared" si="26"/>
        <v>0</v>
      </c>
      <c r="AJ14" s="19">
        <f t="shared" si="27"/>
        <v>0</v>
      </c>
      <c r="AK14" s="43">
        <f t="shared" si="28"/>
        <v>0</v>
      </c>
      <c r="AL14" s="8" t="s">
        <v>24</v>
      </c>
      <c r="AM14" s="57" t="s">
        <v>25</v>
      </c>
      <c r="AN14" s="57"/>
      <c r="AO14" s="58"/>
    </row>
    <row r="15" spans="1:118" ht="15" customHeight="1">
      <c r="A15" s="135">
        <v>11</v>
      </c>
      <c r="B15" s="62"/>
      <c r="C15" s="63"/>
      <c r="D15" s="17"/>
      <c r="E15" s="17"/>
      <c r="F15" s="17"/>
      <c r="G15" s="29"/>
      <c r="H15" s="32" t="s">
        <v>58</v>
      </c>
      <c r="I15" s="17"/>
      <c r="J15" s="17"/>
      <c r="K15" s="17"/>
      <c r="L15" s="17"/>
      <c r="M15" s="17"/>
      <c r="N15" s="29"/>
      <c r="O15" s="32" t="s">
        <v>58</v>
      </c>
      <c r="P15" s="17"/>
      <c r="Q15" s="17"/>
      <c r="R15" s="17"/>
      <c r="S15" s="17"/>
      <c r="T15" s="17"/>
      <c r="U15" s="29"/>
      <c r="V15" s="32" t="s">
        <v>58</v>
      </c>
      <c r="W15" s="32" t="s">
        <v>58</v>
      </c>
      <c r="X15" s="17"/>
      <c r="Y15" s="17"/>
      <c r="Z15" s="17"/>
      <c r="AA15" s="17"/>
      <c r="AB15" s="29"/>
      <c r="AC15" s="32" t="s">
        <v>58</v>
      </c>
      <c r="AD15" s="17"/>
      <c r="AE15" s="17"/>
      <c r="AF15" s="17"/>
      <c r="AG15" s="17"/>
      <c r="AH15" s="47"/>
      <c r="AI15" s="21">
        <f t="shared" si="26"/>
        <v>0</v>
      </c>
      <c r="AJ15" s="19">
        <f t="shared" si="27"/>
        <v>0</v>
      </c>
      <c r="AK15" s="43">
        <f t="shared" si="28"/>
        <v>5</v>
      </c>
      <c r="AL15" s="8" t="s">
        <v>26</v>
      </c>
      <c r="AM15" s="57" t="s">
        <v>27</v>
      </c>
      <c r="AN15" s="57"/>
      <c r="AO15" s="58"/>
    </row>
    <row r="16" spans="1:118" ht="15" customHeight="1">
      <c r="A16" s="135">
        <v>12</v>
      </c>
      <c r="B16" s="62"/>
      <c r="C16" s="63"/>
      <c r="D16" s="17"/>
      <c r="E16" s="17"/>
      <c r="F16" s="17"/>
      <c r="G16" s="29"/>
      <c r="H16" s="32" t="s">
        <v>58</v>
      </c>
      <c r="I16" s="17"/>
      <c r="J16" s="17"/>
      <c r="K16" s="17"/>
      <c r="L16" s="17"/>
      <c r="M16" s="17"/>
      <c r="N16" s="29"/>
      <c r="O16" s="32" t="s">
        <v>58</v>
      </c>
      <c r="P16" s="17"/>
      <c r="Q16" s="17"/>
      <c r="R16" s="17"/>
      <c r="S16" s="17"/>
      <c r="T16" s="17"/>
      <c r="U16" s="29"/>
      <c r="V16" s="32" t="s">
        <v>58</v>
      </c>
      <c r="W16" s="32" t="s">
        <v>58</v>
      </c>
      <c r="X16" s="17"/>
      <c r="Y16" s="17"/>
      <c r="Z16" s="17"/>
      <c r="AA16" s="17"/>
      <c r="AB16" s="38"/>
      <c r="AC16" s="32" t="s">
        <v>58</v>
      </c>
      <c r="AD16" s="17"/>
      <c r="AE16" s="17"/>
      <c r="AF16" s="17"/>
      <c r="AG16" s="17"/>
      <c r="AH16" s="47"/>
      <c r="AI16" s="21">
        <f t="shared" si="26"/>
        <v>0</v>
      </c>
      <c r="AJ16" s="19">
        <f t="shared" si="27"/>
        <v>0</v>
      </c>
      <c r="AK16" s="43">
        <f t="shared" si="28"/>
        <v>5</v>
      </c>
      <c r="AL16" s="8" t="s">
        <v>28</v>
      </c>
      <c r="AM16" s="57" t="s">
        <v>29</v>
      </c>
      <c r="AN16" s="57"/>
      <c r="AO16" s="58"/>
    </row>
    <row r="17" spans="1:49" ht="15" customHeight="1">
      <c r="A17" s="135">
        <v>13</v>
      </c>
      <c r="B17" s="62"/>
      <c r="C17" s="63"/>
      <c r="D17" s="17"/>
      <c r="E17" s="17"/>
      <c r="F17" s="17"/>
      <c r="G17" s="29"/>
      <c r="H17" s="32"/>
      <c r="I17" s="17"/>
      <c r="J17" s="17"/>
      <c r="K17" s="17"/>
      <c r="L17" s="17"/>
      <c r="M17" s="17"/>
      <c r="N17" s="29"/>
      <c r="O17" s="32"/>
      <c r="P17" s="17"/>
      <c r="Q17" s="17"/>
      <c r="R17" s="17"/>
      <c r="S17" s="17"/>
      <c r="T17" s="17"/>
      <c r="U17" s="29"/>
      <c r="V17" s="32"/>
      <c r="W17" s="32"/>
      <c r="X17" s="17"/>
      <c r="Y17" s="17"/>
      <c r="Z17" s="17"/>
      <c r="AA17" s="17"/>
      <c r="AB17" s="29"/>
      <c r="AC17" s="32"/>
      <c r="AD17" s="17"/>
      <c r="AE17" s="17"/>
      <c r="AF17" s="17"/>
      <c r="AG17" s="17"/>
      <c r="AH17" s="47"/>
      <c r="AI17" s="21">
        <f t="shared" si="26"/>
        <v>0</v>
      </c>
      <c r="AJ17" s="19">
        <f t="shared" si="27"/>
        <v>0</v>
      </c>
      <c r="AK17" s="43">
        <f t="shared" si="28"/>
        <v>0</v>
      </c>
      <c r="AL17" s="8" t="s">
        <v>30</v>
      </c>
      <c r="AM17" s="95" t="s">
        <v>31</v>
      </c>
      <c r="AN17" s="57"/>
      <c r="AO17" s="58"/>
    </row>
    <row r="18" spans="1:49" ht="15" customHeight="1">
      <c r="A18" s="135">
        <v>14</v>
      </c>
      <c r="B18" s="62"/>
      <c r="C18" s="63"/>
      <c r="D18" s="17"/>
      <c r="E18" s="17"/>
      <c r="F18" s="17"/>
      <c r="G18" s="29"/>
      <c r="H18" s="32" t="s">
        <v>58</v>
      </c>
      <c r="I18" s="17"/>
      <c r="J18" s="17"/>
      <c r="K18" s="17"/>
      <c r="L18" s="17"/>
      <c r="M18" s="17"/>
      <c r="N18" s="29"/>
      <c r="O18" s="32" t="s">
        <v>58</v>
      </c>
      <c r="P18" s="17"/>
      <c r="Q18" s="17"/>
      <c r="R18" s="17"/>
      <c r="S18" s="17"/>
      <c r="T18" s="17"/>
      <c r="U18" s="29"/>
      <c r="V18" s="32" t="s">
        <v>58</v>
      </c>
      <c r="W18" s="32" t="s">
        <v>58</v>
      </c>
      <c r="X18" s="17"/>
      <c r="Y18" s="17"/>
      <c r="Z18" s="17"/>
      <c r="AA18" s="17"/>
      <c r="AB18" s="29"/>
      <c r="AC18" s="32" t="s">
        <v>58</v>
      </c>
      <c r="AD18" s="17"/>
      <c r="AE18" s="17"/>
      <c r="AF18" s="17"/>
      <c r="AG18" s="17"/>
      <c r="AH18" s="47"/>
      <c r="AI18" s="21">
        <f t="shared" si="26"/>
        <v>0</v>
      </c>
      <c r="AJ18" s="19">
        <f t="shared" si="27"/>
        <v>0</v>
      </c>
      <c r="AK18" s="43">
        <f t="shared" si="28"/>
        <v>5</v>
      </c>
      <c r="AL18" s="8" t="s">
        <v>32</v>
      </c>
      <c r="AM18" s="95" t="s">
        <v>33</v>
      </c>
      <c r="AN18" s="57"/>
      <c r="AO18" s="58"/>
    </row>
    <row r="19" spans="1:49" ht="15" customHeight="1">
      <c r="A19" s="135">
        <v>15</v>
      </c>
      <c r="B19" s="127"/>
      <c r="C19" s="128"/>
      <c r="D19" s="44"/>
      <c r="E19" s="40"/>
      <c r="F19" s="40"/>
      <c r="G19" s="41"/>
      <c r="H19" s="31" t="s">
        <v>58</v>
      </c>
      <c r="I19" s="40"/>
      <c r="J19" s="40"/>
      <c r="K19" s="40"/>
      <c r="L19" s="40"/>
      <c r="M19" s="40"/>
      <c r="N19" s="41"/>
      <c r="O19" s="31" t="s">
        <v>58</v>
      </c>
      <c r="P19" s="40"/>
      <c r="Q19" s="40"/>
      <c r="R19" s="40"/>
      <c r="S19" s="40"/>
      <c r="T19" s="40"/>
      <c r="U19" s="41"/>
      <c r="V19" s="31" t="s">
        <v>58</v>
      </c>
      <c r="W19" s="32" t="s">
        <v>58</v>
      </c>
      <c r="X19" s="40"/>
      <c r="Y19" s="40"/>
      <c r="Z19" s="40"/>
      <c r="AA19" s="40"/>
      <c r="AB19" s="41"/>
      <c r="AC19" s="31" t="s">
        <v>58</v>
      </c>
      <c r="AD19" s="40"/>
      <c r="AE19" s="40"/>
      <c r="AF19" s="40"/>
      <c r="AG19" s="40"/>
      <c r="AH19" s="48"/>
      <c r="AI19" s="22">
        <f t="shared" si="26"/>
        <v>0</v>
      </c>
      <c r="AJ19" s="20">
        <f t="shared" si="27"/>
        <v>0</v>
      </c>
      <c r="AK19" s="43">
        <f t="shared" si="28"/>
        <v>5</v>
      </c>
      <c r="AL19" s="8" t="s">
        <v>63</v>
      </c>
      <c r="AM19" s="95" t="s">
        <v>62</v>
      </c>
      <c r="AN19" s="57"/>
      <c r="AO19" s="58"/>
      <c r="AW19" s="14"/>
    </row>
    <row r="20" spans="1:49" ht="18.75" customHeight="1">
      <c r="B20" s="121" t="s">
        <v>34</v>
      </c>
      <c r="C20" s="122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92"/>
      <c r="AI20" s="87" t="s">
        <v>35</v>
      </c>
      <c r="AJ20" s="88"/>
      <c r="AK20" s="89"/>
      <c r="AL20" s="34" t="s">
        <v>36</v>
      </c>
      <c r="AM20" s="57"/>
      <c r="AN20" s="57"/>
      <c r="AO20" s="58"/>
    </row>
    <row r="21" spans="1:49">
      <c r="B21" s="123"/>
      <c r="C21" s="124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93"/>
      <c r="AI21" s="73"/>
      <c r="AJ21" s="74"/>
      <c r="AK21" s="75"/>
      <c r="AL21" s="34" t="s">
        <v>37</v>
      </c>
      <c r="AM21" s="34"/>
      <c r="AN21" s="34"/>
      <c r="AO21" s="35"/>
    </row>
    <row r="22" spans="1:49">
      <c r="B22" s="123"/>
      <c r="C22" s="124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93"/>
      <c r="AI22" s="76"/>
      <c r="AJ22" s="77"/>
      <c r="AK22" s="78"/>
      <c r="AL22" s="34" t="s">
        <v>64</v>
      </c>
      <c r="AM22" s="57"/>
      <c r="AN22" s="57"/>
      <c r="AO22" s="58"/>
    </row>
    <row r="23" spans="1:49">
      <c r="B23" s="123"/>
      <c r="C23" s="124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93"/>
      <c r="AI23" s="67"/>
      <c r="AJ23" s="68"/>
      <c r="AK23" s="69"/>
      <c r="AL23" s="34"/>
      <c r="AM23" s="34"/>
      <c r="AN23" s="34"/>
      <c r="AO23" s="35"/>
    </row>
    <row r="24" spans="1:49" ht="18.75" customHeight="1" thickBot="1">
      <c r="B24" s="123"/>
      <c r="C24" s="124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93"/>
      <c r="AI24" s="79"/>
      <c r="AJ24" s="80"/>
      <c r="AK24" s="81"/>
      <c r="AL24" s="36"/>
      <c r="AM24" s="119"/>
      <c r="AN24" s="119"/>
      <c r="AO24" s="120"/>
    </row>
    <row r="25" spans="1:49" ht="18.75" customHeight="1" thickTop="1">
      <c r="B25" s="123"/>
      <c r="C25" s="124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93"/>
      <c r="AI25" s="70"/>
      <c r="AJ25" s="71"/>
      <c r="AK25" s="72"/>
      <c r="AL25" s="23"/>
      <c r="AM25" s="23"/>
      <c r="AN25" s="23"/>
      <c r="AO25" s="23"/>
    </row>
    <row r="26" spans="1:49">
      <c r="B26" s="123"/>
      <c r="C26" s="124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93"/>
      <c r="AI26" s="70"/>
      <c r="AJ26" s="71"/>
      <c r="AK26" s="72"/>
      <c r="AL26" s="23"/>
      <c r="AM26" s="23"/>
      <c r="AN26" s="23"/>
      <c r="AO26" s="23"/>
    </row>
    <row r="27" spans="1:49">
      <c r="B27" s="125"/>
      <c r="C27" s="126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94"/>
      <c r="AI27" s="70"/>
      <c r="AJ27" s="71"/>
      <c r="AK27" s="72"/>
      <c r="AL27" s="1"/>
      <c r="AM27" s="1"/>
      <c r="AN27" s="1"/>
      <c r="AO27" s="1"/>
    </row>
    <row r="28" spans="1:49" ht="7.5" customHeight="1">
      <c r="B28" s="129" t="s">
        <v>38</v>
      </c>
      <c r="C28" s="130"/>
      <c r="D28" s="5">
        <f t="shared" ref="D28:AH28" si="29">COUNTIF(D$5:D$19,"A")</f>
        <v>0</v>
      </c>
      <c r="E28" s="5">
        <f t="shared" si="29"/>
        <v>0</v>
      </c>
      <c r="F28" s="5">
        <f t="shared" si="29"/>
        <v>0</v>
      </c>
      <c r="G28" s="5">
        <f t="shared" si="29"/>
        <v>0</v>
      </c>
      <c r="H28" s="5">
        <f>COUNTIF(H$5:H$19,"A")</f>
        <v>0</v>
      </c>
      <c r="I28" s="5">
        <f t="shared" si="29"/>
        <v>0</v>
      </c>
      <c r="J28" s="5">
        <f t="shared" si="29"/>
        <v>0</v>
      </c>
      <c r="K28" s="5">
        <f t="shared" si="29"/>
        <v>1</v>
      </c>
      <c r="L28" s="5">
        <f t="shared" si="29"/>
        <v>1</v>
      </c>
      <c r="M28" s="5">
        <f t="shared" si="29"/>
        <v>0</v>
      </c>
      <c r="N28" s="5">
        <f t="shared" si="29"/>
        <v>0</v>
      </c>
      <c r="O28" s="5">
        <f>COUNTIF(O$5:O$19,"A")</f>
        <v>0</v>
      </c>
      <c r="P28" s="5">
        <f t="shared" si="29"/>
        <v>0</v>
      </c>
      <c r="Q28" s="5">
        <f t="shared" si="29"/>
        <v>1</v>
      </c>
      <c r="R28" s="5">
        <f t="shared" si="29"/>
        <v>1</v>
      </c>
      <c r="S28" s="5">
        <f t="shared" si="29"/>
        <v>0</v>
      </c>
      <c r="T28" s="5">
        <f t="shared" si="29"/>
        <v>0</v>
      </c>
      <c r="U28" s="5">
        <f t="shared" si="29"/>
        <v>0</v>
      </c>
      <c r="V28" s="5">
        <f t="shared" si="29"/>
        <v>0</v>
      </c>
      <c r="W28" s="5">
        <f t="shared" si="29"/>
        <v>0</v>
      </c>
      <c r="X28" s="5">
        <f t="shared" si="29"/>
        <v>0</v>
      </c>
      <c r="Y28" s="5">
        <f t="shared" si="29"/>
        <v>1</v>
      </c>
      <c r="Z28" s="5">
        <f t="shared" si="29"/>
        <v>0</v>
      </c>
      <c r="AA28" s="5">
        <f t="shared" si="29"/>
        <v>0</v>
      </c>
      <c r="AB28" s="5">
        <f t="shared" si="29"/>
        <v>0</v>
      </c>
      <c r="AC28" s="5">
        <f t="shared" si="29"/>
        <v>5</v>
      </c>
      <c r="AD28" s="5">
        <f t="shared" si="29"/>
        <v>0</v>
      </c>
      <c r="AE28" s="5">
        <f t="shared" si="29"/>
        <v>0</v>
      </c>
      <c r="AF28" s="5">
        <f t="shared" si="29"/>
        <v>1</v>
      </c>
      <c r="AG28" s="5">
        <f t="shared" si="29"/>
        <v>0</v>
      </c>
      <c r="AH28" s="5">
        <f t="shared" si="29"/>
        <v>0</v>
      </c>
      <c r="AI28" s="24"/>
      <c r="AJ28" s="25"/>
      <c r="AK28" s="26"/>
    </row>
    <row r="29" spans="1:49" ht="7.5" customHeight="1">
      <c r="B29" s="53" t="s">
        <v>39</v>
      </c>
      <c r="C29" s="54"/>
      <c r="D29" s="4">
        <f t="shared" ref="D29:AH29" si="30">COUNTIF(D$5:D$19,"A1")</f>
        <v>0</v>
      </c>
      <c r="E29" s="4">
        <f t="shared" si="30"/>
        <v>0</v>
      </c>
      <c r="F29" s="4">
        <f t="shared" si="30"/>
        <v>1</v>
      </c>
      <c r="G29" s="4">
        <f t="shared" si="30"/>
        <v>0</v>
      </c>
      <c r="H29" s="4">
        <f>COUNTIF(H$5:H$19,"A1")</f>
        <v>0</v>
      </c>
      <c r="I29" s="4">
        <f t="shared" si="30"/>
        <v>1</v>
      </c>
      <c r="J29" s="4">
        <f t="shared" si="30"/>
        <v>0</v>
      </c>
      <c r="K29" s="4">
        <f t="shared" si="30"/>
        <v>0</v>
      </c>
      <c r="L29" s="4">
        <f t="shared" si="30"/>
        <v>0</v>
      </c>
      <c r="M29" s="4">
        <f t="shared" si="30"/>
        <v>0</v>
      </c>
      <c r="N29" s="4">
        <f t="shared" si="30"/>
        <v>0</v>
      </c>
      <c r="O29" s="4">
        <f>COUNTIF(O$5:O$19,"A1")</f>
        <v>0</v>
      </c>
      <c r="P29" s="4">
        <f t="shared" si="30"/>
        <v>0</v>
      </c>
      <c r="Q29" s="4">
        <f t="shared" si="30"/>
        <v>0</v>
      </c>
      <c r="R29" s="4">
        <f t="shared" si="30"/>
        <v>0</v>
      </c>
      <c r="S29" s="4">
        <f t="shared" si="30"/>
        <v>0</v>
      </c>
      <c r="T29" s="4">
        <f t="shared" si="30"/>
        <v>0</v>
      </c>
      <c r="U29" s="4">
        <f t="shared" si="30"/>
        <v>0</v>
      </c>
      <c r="V29" s="4">
        <f t="shared" si="30"/>
        <v>0</v>
      </c>
      <c r="W29" s="4">
        <f t="shared" si="30"/>
        <v>0</v>
      </c>
      <c r="X29" s="4">
        <f t="shared" si="30"/>
        <v>0</v>
      </c>
      <c r="Y29" s="4">
        <f t="shared" si="30"/>
        <v>0</v>
      </c>
      <c r="Z29" s="4">
        <f t="shared" si="30"/>
        <v>0</v>
      </c>
      <c r="AA29" s="4">
        <f t="shared" si="30"/>
        <v>0</v>
      </c>
      <c r="AB29" s="4">
        <f t="shared" si="30"/>
        <v>0</v>
      </c>
      <c r="AC29" s="4">
        <f t="shared" si="30"/>
        <v>0</v>
      </c>
      <c r="AD29" s="4">
        <f t="shared" si="30"/>
        <v>0</v>
      </c>
      <c r="AE29" s="4">
        <f t="shared" si="30"/>
        <v>0</v>
      </c>
      <c r="AF29" s="4">
        <f t="shared" si="30"/>
        <v>0</v>
      </c>
      <c r="AG29" s="4">
        <f t="shared" si="30"/>
        <v>0</v>
      </c>
      <c r="AH29" s="4">
        <f t="shared" si="30"/>
        <v>0</v>
      </c>
      <c r="AI29" s="24"/>
      <c r="AJ29" s="25"/>
      <c r="AK29" s="26"/>
      <c r="AL29" s="3"/>
      <c r="AM29" s="3"/>
    </row>
    <row r="30" spans="1:49" ht="7.5" customHeight="1">
      <c r="B30" s="51" t="s">
        <v>40</v>
      </c>
      <c r="C30" s="52"/>
      <c r="D30" s="6">
        <f t="shared" ref="D30:AH30" si="31">SUM(D28:D29)</f>
        <v>0</v>
      </c>
      <c r="E30" s="6">
        <f t="shared" si="31"/>
        <v>0</v>
      </c>
      <c r="F30" s="6">
        <f t="shared" si="31"/>
        <v>1</v>
      </c>
      <c r="G30" s="6">
        <f t="shared" si="31"/>
        <v>0</v>
      </c>
      <c r="H30" s="6">
        <f t="shared" si="31"/>
        <v>0</v>
      </c>
      <c r="I30" s="6">
        <f t="shared" si="31"/>
        <v>1</v>
      </c>
      <c r="J30" s="6">
        <f t="shared" si="31"/>
        <v>0</v>
      </c>
      <c r="K30" s="6">
        <f t="shared" si="31"/>
        <v>1</v>
      </c>
      <c r="L30" s="6">
        <f t="shared" si="31"/>
        <v>1</v>
      </c>
      <c r="M30" s="6">
        <f t="shared" si="31"/>
        <v>0</v>
      </c>
      <c r="N30" s="6">
        <f t="shared" si="31"/>
        <v>0</v>
      </c>
      <c r="O30" s="6">
        <f t="shared" si="31"/>
        <v>0</v>
      </c>
      <c r="P30" s="6">
        <f t="shared" si="31"/>
        <v>0</v>
      </c>
      <c r="Q30" s="6">
        <f t="shared" si="31"/>
        <v>1</v>
      </c>
      <c r="R30" s="6">
        <f t="shared" si="31"/>
        <v>1</v>
      </c>
      <c r="S30" s="6">
        <f t="shared" si="31"/>
        <v>0</v>
      </c>
      <c r="T30" s="6">
        <f t="shared" si="31"/>
        <v>0</v>
      </c>
      <c r="U30" s="6">
        <f t="shared" si="31"/>
        <v>0</v>
      </c>
      <c r="V30" s="6">
        <f t="shared" si="31"/>
        <v>0</v>
      </c>
      <c r="W30" s="6">
        <f t="shared" si="31"/>
        <v>0</v>
      </c>
      <c r="X30" s="6">
        <f t="shared" si="31"/>
        <v>0</v>
      </c>
      <c r="Y30" s="6">
        <f t="shared" si="31"/>
        <v>1</v>
      </c>
      <c r="Z30" s="6">
        <f t="shared" si="31"/>
        <v>0</v>
      </c>
      <c r="AA30" s="6">
        <f t="shared" si="31"/>
        <v>0</v>
      </c>
      <c r="AB30" s="6">
        <f t="shared" si="31"/>
        <v>0</v>
      </c>
      <c r="AC30" s="6">
        <f t="shared" si="31"/>
        <v>5</v>
      </c>
      <c r="AD30" s="6">
        <f t="shared" si="31"/>
        <v>0</v>
      </c>
      <c r="AE30" s="6">
        <f t="shared" si="31"/>
        <v>0</v>
      </c>
      <c r="AF30" s="6">
        <f t="shared" si="31"/>
        <v>1</v>
      </c>
      <c r="AG30" s="6">
        <f t="shared" si="31"/>
        <v>0</v>
      </c>
      <c r="AH30" s="6">
        <f t="shared" si="31"/>
        <v>0</v>
      </c>
      <c r="AI30" s="24"/>
      <c r="AJ30" s="25"/>
      <c r="AK30" s="26"/>
      <c r="AL30" s="3"/>
      <c r="AM30" s="3"/>
    </row>
    <row r="31" spans="1:49" ht="7.5" customHeight="1">
      <c r="B31" s="53" t="s">
        <v>22</v>
      </c>
      <c r="C31" s="54"/>
      <c r="D31" s="4">
        <f t="shared" ref="D31:AH31" si="32">COUNTIF(D$5:D$19,"D")</f>
        <v>1</v>
      </c>
      <c r="E31" s="4">
        <f t="shared" si="32"/>
        <v>0</v>
      </c>
      <c r="F31" s="4">
        <f t="shared" si="32"/>
        <v>0</v>
      </c>
      <c r="G31" s="4">
        <f t="shared" si="32"/>
        <v>1</v>
      </c>
      <c r="H31" s="4">
        <f>COUNTIF(H$5:H$19,"D")</f>
        <v>0</v>
      </c>
      <c r="I31" s="4">
        <f t="shared" si="32"/>
        <v>0</v>
      </c>
      <c r="J31" s="4">
        <f t="shared" si="32"/>
        <v>1</v>
      </c>
      <c r="K31" s="4">
        <f t="shared" si="32"/>
        <v>1</v>
      </c>
      <c r="L31" s="4">
        <f t="shared" si="32"/>
        <v>0</v>
      </c>
      <c r="M31" s="4">
        <f t="shared" si="32"/>
        <v>1</v>
      </c>
      <c r="N31" s="4">
        <f t="shared" si="32"/>
        <v>0</v>
      </c>
      <c r="O31" s="4">
        <f>COUNTIF(O$5:O$19,"D")</f>
        <v>0</v>
      </c>
      <c r="P31" s="4">
        <f t="shared" si="32"/>
        <v>0</v>
      </c>
      <c r="Q31" s="4">
        <f t="shared" si="32"/>
        <v>1</v>
      </c>
      <c r="R31" s="4">
        <f t="shared" si="32"/>
        <v>0</v>
      </c>
      <c r="S31" s="4">
        <f t="shared" si="32"/>
        <v>0</v>
      </c>
      <c r="T31" s="4">
        <f t="shared" si="32"/>
        <v>0</v>
      </c>
      <c r="U31" s="4">
        <f t="shared" si="32"/>
        <v>0</v>
      </c>
      <c r="V31" s="4">
        <f t="shared" si="32"/>
        <v>0</v>
      </c>
      <c r="W31" s="4">
        <f t="shared" si="32"/>
        <v>0</v>
      </c>
      <c r="X31" s="4">
        <f t="shared" si="32"/>
        <v>1</v>
      </c>
      <c r="Y31" s="4">
        <f t="shared" si="32"/>
        <v>0</v>
      </c>
      <c r="Z31" s="4">
        <f t="shared" si="32"/>
        <v>0</v>
      </c>
      <c r="AA31" s="4">
        <f t="shared" si="32"/>
        <v>1</v>
      </c>
      <c r="AB31" s="4">
        <f t="shared" si="32"/>
        <v>0</v>
      </c>
      <c r="AC31" s="4">
        <f t="shared" si="32"/>
        <v>0</v>
      </c>
      <c r="AD31" s="4">
        <f t="shared" si="32"/>
        <v>1</v>
      </c>
      <c r="AE31" s="4">
        <f t="shared" si="32"/>
        <v>0</v>
      </c>
      <c r="AF31" s="4">
        <f t="shared" si="32"/>
        <v>0</v>
      </c>
      <c r="AG31" s="4">
        <f t="shared" si="32"/>
        <v>0</v>
      </c>
      <c r="AH31" s="4">
        <f t="shared" si="32"/>
        <v>0</v>
      </c>
      <c r="AI31" s="24"/>
      <c r="AJ31" s="25"/>
      <c r="AK31" s="26"/>
      <c r="AL31" s="3"/>
      <c r="AM31" s="3"/>
    </row>
    <row r="32" spans="1:49" ht="7.5" customHeight="1">
      <c r="B32" s="53" t="s">
        <v>24</v>
      </c>
      <c r="C32" s="54"/>
      <c r="D32" s="4">
        <f t="shared" ref="D32:AH32" si="33">COUNTIF(D$5:D$19,"D1")</f>
        <v>0</v>
      </c>
      <c r="E32" s="4">
        <f t="shared" si="33"/>
        <v>0</v>
      </c>
      <c r="F32" s="4">
        <f t="shared" si="33"/>
        <v>0</v>
      </c>
      <c r="G32" s="4">
        <f t="shared" si="33"/>
        <v>0</v>
      </c>
      <c r="H32" s="4">
        <f>COUNTIF(H$5:H$19,"D1")</f>
        <v>0</v>
      </c>
      <c r="I32" s="4">
        <f t="shared" si="33"/>
        <v>0</v>
      </c>
      <c r="J32" s="4">
        <f t="shared" si="33"/>
        <v>0</v>
      </c>
      <c r="K32" s="4">
        <f t="shared" si="33"/>
        <v>0</v>
      </c>
      <c r="L32" s="4">
        <f t="shared" si="33"/>
        <v>0</v>
      </c>
      <c r="M32" s="4">
        <f t="shared" si="33"/>
        <v>0</v>
      </c>
      <c r="N32" s="4">
        <f t="shared" si="33"/>
        <v>0</v>
      </c>
      <c r="O32" s="4">
        <f>COUNTIF(O$5:O$19,"D1")</f>
        <v>0</v>
      </c>
      <c r="P32" s="4">
        <f t="shared" si="33"/>
        <v>0</v>
      </c>
      <c r="Q32" s="4">
        <f t="shared" si="33"/>
        <v>0</v>
      </c>
      <c r="R32" s="4">
        <f t="shared" si="33"/>
        <v>0</v>
      </c>
      <c r="S32" s="4">
        <f t="shared" si="33"/>
        <v>0</v>
      </c>
      <c r="T32" s="4">
        <f t="shared" si="33"/>
        <v>0</v>
      </c>
      <c r="U32" s="4">
        <f t="shared" si="33"/>
        <v>0</v>
      </c>
      <c r="V32" s="4">
        <f t="shared" si="33"/>
        <v>0</v>
      </c>
      <c r="W32" s="4">
        <f t="shared" si="33"/>
        <v>0</v>
      </c>
      <c r="X32" s="4">
        <f t="shared" si="33"/>
        <v>0</v>
      </c>
      <c r="Y32" s="4">
        <f t="shared" si="33"/>
        <v>0</v>
      </c>
      <c r="Z32" s="4">
        <f t="shared" si="33"/>
        <v>0</v>
      </c>
      <c r="AA32" s="4">
        <f t="shared" si="33"/>
        <v>0</v>
      </c>
      <c r="AB32" s="4">
        <f t="shared" si="33"/>
        <v>0</v>
      </c>
      <c r="AC32" s="4">
        <f t="shared" si="33"/>
        <v>0</v>
      </c>
      <c r="AD32" s="4">
        <f t="shared" si="33"/>
        <v>0</v>
      </c>
      <c r="AE32" s="4">
        <f t="shared" si="33"/>
        <v>0</v>
      </c>
      <c r="AF32" s="4">
        <f t="shared" si="33"/>
        <v>0</v>
      </c>
      <c r="AG32" s="4">
        <f t="shared" si="33"/>
        <v>0</v>
      </c>
      <c r="AH32" s="4">
        <f t="shared" si="33"/>
        <v>0</v>
      </c>
      <c r="AI32" s="11"/>
      <c r="AJ32" s="12"/>
      <c r="AK32" s="13"/>
    </row>
    <row r="33" spans="2:39" ht="7.5" customHeight="1">
      <c r="B33" s="53" t="s">
        <v>41</v>
      </c>
      <c r="C33" s="54"/>
      <c r="D33" s="4">
        <f t="shared" ref="D33:AH33" si="34">COUNTIF(D$5:D$19,"E")</f>
        <v>0</v>
      </c>
      <c r="E33" s="4">
        <f t="shared" si="34"/>
        <v>0</v>
      </c>
      <c r="F33" s="4">
        <f t="shared" si="34"/>
        <v>0</v>
      </c>
      <c r="G33" s="4">
        <f t="shared" si="34"/>
        <v>0</v>
      </c>
      <c r="H33" s="4">
        <f>COUNTIF(H$5:H$19,"E")</f>
        <v>0</v>
      </c>
      <c r="I33" s="4">
        <f t="shared" si="34"/>
        <v>0</v>
      </c>
      <c r="J33" s="4">
        <f t="shared" si="34"/>
        <v>0</v>
      </c>
      <c r="K33" s="4">
        <f t="shared" si="34"/>
        <v>0</v>
      </c>
      <c r="L33" s="4">
        <f t="shared" si="34"/>
        <v>0</v>
      </c>
      <c r="M33" s="4">
        <f t="shared" si="34"/>
        <v>0</v>
      </c>
      <c r="N33" s="4">
        <f t="shared" si="34"/>
        <v>0</v>
      </c>
      <c r="O33" s="4">
        <f>COUNTIF(O$5:O$19,"E")</f>
        <v>0</v>
      </c>
      <c r="P33" s="4">
        <f t="shared" si="34"/>
        <v>0</v>
      </c>
      <c r="Q33" s="4">
        <f t="shared" si="34"/>
        <v>0</v>
      </c>
      <c r="R33" s="4">
        <f t="shared" si="34"/>
        <v>0</v>
      </c>
      <c r="S33" s="4">
        <f t="shared" si="34"/>
        <v>0</v>
      </c>
      <c r="T33" s="4">
        <f t="shared" si="34"/>
        <v>0</v>
      </c>
      <c r="U33" s="4">
        <f t="shared" si="34"/>
        <v>0</v>
      </c>
      <c r="V33" s="4">
        <f t="shared" si="34"/>
        <v>0</v>
      </c>
      <c r="W33" s="4">
        <f t="shared" si="34"/>
        <v>0</v>
      </c>
      <c r="X33" s="4">
        <f t="shared" si="34"/>
        <v>0</v>
      </c>
      <c r="Y33" s="4">
        <f t="shared" si="34"/>
        <v>0</v>
      </c>
      <c r="Z33" s="4">
        <f t="shared" si="34"/>
        <v>0</v>
      </c>
      <c r="AA33" s="4">
        <f t="shared" si="34"/>
        <v>0</v>
      </c>
      <c r="AB33" s="4">
        <f t="shared" si="34"/>
        <v>0</v>
      </c>
      <c r="AC33" s="4">
        <f t="shared" si="34"/>
        <v>0</v>
      </c>
      <c r="AD33" s="4">
        <f t="shared" si="34"/>
        <v>0</v>
      </c>
      <c r="AE33" s="4">
        <f t="shared" si="34"/>
        <v>0</v>
      </c>
      <c r="AF33" s="4">
        <f t="shared" si="34"/>
        <v>0</v>
      </c>
      <c r="AG33" s="4">
        <f t="shared" si="34"/>
        <v>0</v>
      </c>
      <c r="AH33" s="4">
        <f t="shared" si="34"/>
        <v>0</v>
      </c>
      <c r="AI33" s="11"/>
      <c r="AJ33" s="12"/>
      <c r="AK33" s="13"/>
    </row>
    <row r="34" spans="2:39" ht="7.5" customHeight="1">
      <c r="B34" s="53" t="s">
        <v>42</v>
      </c>
      <c r="C34" s="54"/>
      <c r="D34" s="4">
        <f>COUNTIF(D$5:D$19,"E1")</f>
        <v>0</v>
      </c>
      <c r="E34" s="4">
        <f t="shared" ref="E34:AH34" si="35">COUNTIF(E$5:E$19,"E１")</f>
        <v>0</v>
      </c>
      <c r="F34" s="4">
        <f t="shared" si="35"/>
        <v>0</v>
      </c>
      <c r="G34" s="4">
        <f t="shared" si="35"/>
        <v>0</v>
      </c>
      <c r="H34" s="4">
        <f>COUNTIF(H$5:H$19,"E１")</f>
        <v>0</v>
      </c>
      <c r="I34" s="4">
        <f t="shared" si="35"/>
        <v>0</v>
      </c>
      <c r="J34" s="4">
        <f t="shared" si="35"/>
        <v>0</v>
      </c>
      <c r="K34" s="4">
        <f t="shared" si="35"/>
        <v>0</v>
      </c>
      <c r="L34" s="4">
        <f t="shared" si="35"/>
        <v>0</v>
      </c>
      <c r="M34" s="4">
        <f t="shared" si="35"/>
        <v>0</v>
      </c>
      <c r="N34" s="4">
        <f t="shared" si="35"/>
        <v>0</v>
      </c>
      <c r="O34" s="4">
        <f>COUNTIF(O$5:O$19,"E１")</f>
        <v>0</v>
      </c>
      <c r="P34" s="4">
        <f t="shared" si="35"/>
        <v>0</v>
      </c>
      <c r="Q34" s="4">
        <f t="shared" si="35"/>
        <v>0</v>
      </c>
      <c r="R34" s="4">
        <f t="shared" si="35"/>
        <v>0</v>
      </c>
      <c r="S34" s="4">
        <f t="shared" si="35"/>
        <v>0</v>
      </c>
      <c r="T34" s="4">
        <f t="shared" si="35"/>
        <v>0</v>
      </c>
      <c r="U34" s="4">
        <f t="shared" si="35"/>
        <v>0</v>
      </c>
      <c r="V34" s="4">
        <f t="shared" si="35"/>
        <v>0</v>
      </c>
      <c r="W34" s="4">
        <f t="shared" si="35"/>
        <v>0</v>
      </c>
      <c r="X34" s="4">
        <f t="shared" si="35"/>
        <v>0</v>
      </c>
      <c r="Y34" s="4">
        <f t="shared" si="35"/>
        <v>0</v>
      </c>
      <c r="Z34" s="4">
        <f t="shared" si="35"/>
        <v>0</v>
      </c>
      <c r="AA34" s="4">
        <f t="shared" si="35"/>
        <v>0</v>
      </c>
      <c r="AB34" s="4">
        <f t="shared" si="35"/>
        <v>0</v>
      </c>
      <c r="AC34" s="4">
        <f t="shared" si="35"/>
        <v>0</v>
      </c>
      <c r="AD34" s="4">
        <f t="shared" si="35"/>
        <v>0</v>
      </c>
      <c r="AE34" s="4">
        <f t="shared" si="35"/>
        <v>0</v>
      </c>
      <c r="AF34" s="4">
        <f t="shared" si="35"/>
        <v>0</v>
      </c>
      <c r="AG34" s="4">
        <f t="shared" si="35"/>
        <v>0</v>
      </c>
      <c r="AH34" s="4">
        <f t="shared" si="35"/>
        <v>0</v>
      </c>
      <c r="AI34" s="11"/>
      <c r="AJ34" s="12"/>
      <c r="AK34" s="13"/>
    </row>
    <row r="35" spans="2:39" ht="7.5" customHeight="1">
      <c r="B35" s="53" t="s">
        <v>28</v>
      </c>
      <c r="C35" s="54"/>
      <c r="D35" s="4">
        <f t="shared" ref="D35:AH35" si="36">COUNTIF(D$5:D$19,"F")</f>
        <v>0</v>
      </c>
      <c r="E35" s="4">
        <f t="shared" si="36"/>
        <v>0</v>
      </c>
      <c r="F35" s="4">
        <f t="shared" si="36"/>
        <v>0</v>
      </c>
      <c r="G35" s="4">
        <f t="shared" si="36"/>
        <v>0</v>
      </c>
      <c r="H35" s="4">
        <f>COUNTIF(H$5:H$19,"F")</f>
        <v>0</v>
      </c>
      <c r="I35" s="4">
        <f t="shared" si="36"/>
        <v>0</v>
      </c>
      <c r="J35" s="4">
        <f t="shared" si="36"/>
        <v>0</v>
      </c>
      <c r="K35" s="4">
        <f t="shared" si="36"/>
        <v>0</v>
      </c>
      <c r="L35" s="4">
        <f t="shared" si="36"/>
        <v>0</v>
      </c>
      <c r="M35" s="4">
        <f t="shared" si="36"/>
        <v>0</v>
      </c>
      <c r="N35" s="4">
        <f t="shared" si="36"/>
        <v>0</v>
      </c>
      <c r="O35" s="4">
        <f>COUNTIF(O$5:O$19,"F")</f>
        <v>0</v>
      </c>
      <c r="P35" s="4">
        <f t="shared" si="36"/>
        <v>0</v>
      </c>
      <c r="Q35" s="4">
        <f t="shared" si="36"/>
        <v>0</v>
      </c>
      <c r="R35" s="4">
        <f t="shared" si="36"/>
        <v>0</v>
      </c>
      <c r="S35" s="4">
        <f t="shared" si="36"/>
        <v>0</v>
      </c>
      <c r="T35" s="4">
        <f t="shared" si="36"/>
        <v>0</v>
      </c>
      <c r="U35" s="4">
        <f t="shared" si="36"/>
        <v>0</v>
      </c>
      <c r="V35" s="4">
        <f t="shared" si="36"/>
        <v>0</v>
      </c>
      <c r="W35" s="4">
        <f t="shared" si="36"/>
        <v>0</v>
      </c>
      <c r="X35" s="4">
        <f t="shared" si="36"/>
        <v>0</v>
      </c>
      <c r="Y35" s="4">
        <f t="shared" si="36"/>
        <v>0</v>
      </c>
      <c r="Z35" s="4">
        <f t="shared" si="36"/>
        <v>0</v>
      </c>
      <c r="AA35" s="4">
        <f t="shared" si="36"/>
        <v>0</v>
      </c>
      <c r="AB35" s="4">
        <f t="shared" si="36"/>
        <v>0</v>
      </c>
      <c r="AC35" s="4">
        <f t="shared" si="36"/>
        <v>0</v>
      </c>
      <c r="AD35" s="4">
        <f t="shared" si="36"/>
        <v>0</v>
      </c>
      <c r="AE35" s="4">
        <f t="shared" si="36"/>
        <v>0</v>
      </c>
      <c r="AF35" s="4">
        <f t="shared" si="36"/>
        <v>0</v>
      </c>
      <c r="AG35" s="4">
        <f t="shared" si="36"/>
        <v>0</v>
      </c>
      <c r="AH35" s="4">
        <f t="shared" si="36"/>
        <v>0</v>
      </c>
      <c r="AI35" s="11"/>
      <c r="AJ35" s="12"/>
      <c r="AK35" s="13"/>
    </row>
    <row r="36" spans="2:39" ht="7.5" customHeight="1">
      <c r="B36" s="51" t="s">
        <v>43</v>
      </c>
      <c r="C36" s="52"/>
      <c r="D36" s="6">
        <f>SUM(D31:D33)</f>
        <v>1</v>
      </c>
      <c r="E36" s="6">
        <f t="shared" ref="E36:AH36" si="37">SUM(E31:E33)</f>
        <v>0</v>
      </c>
      <c r="F36" s="6">
        <f t="shared" si="37"/>
        <v>0</v>
      </c>
      <c r="G36" s="6">
        <f t="shared" si="37"/>
        <v>1</v>
      </c>
      <c r="H36" s="6">
        <f t="shared" si="37"/>
        <v>0</v>
      </c>
      <c r="I36" s="6">
        <f t="shared" si="37"/>
        <v>0</v>
      </c>
      <c r="J36" s="6">
        <f t="shared" si="37"/>
        <v>1</v>
      </c>
      <c r="K36" s="6">
        <f t="shared" si="37"/>
        <v>1</v>
      </c>
      <c r="L36" s="6">
        <f t="shared" si="37"/>
        <v>0</v>
      </c>
      <c r="M36" s="6">
        <f t="shared" si="37"/>
        <v>1</v>
      </c>
      <c r="N36" s="6">
        <f t="shared" si="37"/>
        <v>0</v>
      </c>
      <c r="O36" s="6">
        <f t="shared" si="37"/>
        <v>0</v>
      </c>
      <c r="P36" s="6">
        <f t="shared" si="37"/>
        <v>0</v>
      </c>
      <c r="Q36" s="6">
        <f t="shared" si="37"/>
        <v>1</v>
      </c>
      <c r="R36" s="6">
        <f t="shared" si="37"/>
        <v>0</v>
      </c>
      <c r="S36" s="6">
        <f t="shared" si="37"/>
        <v>0</v>
      </c>
      <c r="T36" s="6">
        <f t="shared" si="37"/>
        <v>0</v>
      </c>
      <c r="U36" s="6">
        <f t="shared" si="37"/>
        <v>0</v>
      </c>
      <c r="V36" s="6">
        <f t="shared" si="37"/>
        <v>0</v>
      </c>
      <c r="W36" s="6">
        <f t="shared" si="37"/>
        <v>0</v>
      </c>
      <c r="X36" s="6">
        <f t="shared" si="37"/>
        <v>1</v>
      </c>
      <c r="Y36" s="6">
        <f t="shared" si="37"/>
        <v>0</v>
      </c>
      <c r="Z36" s="6">
        <f t="shared" si="37"/>
        <v>0</v>
      </c>
      <c r="AA36" s="6">
        <f t="shared" si="37"/>
        <v>1</v>
      </c>
      <c r="AB36" s="6">
        <f t="shared" si="37"/>
        <v>0</v>
      </c>
      <c r="AC36" s="6">
        <f t="shared" si="37"/>
        <v>0</v>
      </c>
      <c r="AD36" s="6">
        <f t="shared" si="37"/>
        <v>1</v>
      </c>
      <c r="AE36" s="6">
        <f t="shared" si="37"/>
        <v>0</v>
      </c>
      <c r="AF36" s="6">
        <f t="shared" si="37"/>
        <v>0</v>
      </c>
      <c r="AG36" s="6">
        <f t="shared" si="37"/>
        <v>0</v>
      </c>
      <c r="AH36" s="6">
        <f t="shared" si="37"/>
        <v>0</v>
      </c>
      <c r="AI36" s="11"/>
      <c r="AJ36" s="12"/>
      <c r="AK36" s="13"/>
      <c r="AL36" s="3"/>
      <c r="AM36" s="3"/>
    </row>
    <row r="37" spans="2:39" ht="7.5" customHeight="1">
      <c r="B37" s="53" t="s">
        <v>16</v>
      </c>
      <c r="C37" s="54"/>
      <c r="D37" s="4">
        <f t="shared" ref="D37:AH37" si="38">COUNTIF(D$5:D$19,"C")</f>
        <v>0</v>
      </c>
      <c r="E37" s="4">
        <f t="shared" si="38"/>
        <v>1</v>
      </c>
      <c r="F37" s="4">
        <f t="shared" si="38"/>
        <v>0</v>
      </c>
      <c r="G37" s="4">
        <f t="shared" si="38"/>
        <v>0</v>
      </c>
      <c r="H37" s="4">
        <f>COUNTIF(H$5:H$19,"C")</f>
        <v>0</v>
      </c>
      <c r="I37" s="4">
        <f t="shared" si="38"/>
        <v>0</v>
      </c>
      <c r="J37" s="4">
        <f t="shared" si="38"/>
        <v>1</v>
      </c>
      <c r="K37" s="4">
        <f t="shared" si="38"/>
        <v>0</v>
      </c>
      <c r="L37" s="4">
        <f t="shared" si="38"/>
        <v>1</v>
      </c>
      <c r="M37" s="4">
        <f t="shared" si="38"/>
        <v>1</v>
      </c>
      <c r="N37" s="4">
        <f t="shared" si="38"/>
        <v>0</v>
      </c>
      <c r="O37" s="4">
        <f>COUNTIF(O$5:O$19,"C")</f>
        <v>0</v>
      </c>
      <c r="P37" s="4">
        <f t="shared" si="38"/>
        <v>1</v>
      </c>
      <c r="Q37" s="4">
        <f t="shared" si="38"/>
        <v>1</v>
      </c>
      <c r="R37" s="4">
        <f t="shared" si="38"/>
        <v>1</v>
      </c>
      <c r="S37" s="4">
        <f t="shared" si="38"/>
        <v>1</v>
      </c>
      <c r="T37" s="4">
        <f t="shared" si="38"/>
        <v>0</v>
      </c>
      <c r="U37" s="4">
        <f t="shared" si="38"/>
        <v>0</v>
      </c>
      <c r="V37" s="4">
        <f t="shared" si="38"/>
        <v>0</v>
      </c>
      <c r="W37" s="4">
        <f t="shared" si="38"/>
        <v>0</v>
      </c>
      <c r="X37" s="4">
        <f t="shared" si="38"/>
        <v>0</v>
      </c>
      <c r="Y37" s="4">
        <f t="shared" si="38"/>
        <v>0</v>
      </c>
      <c r="Z37" s="4">
        <f t="shared" si="38"/>
        <v>1</v>
      </c>
      <c r="AA37" s="4">
        <f t="shared" si="38"/>
        <v>0</v>
      </c>
      <c r="AB37" s="4">
        <f t="shared" si="38"/>
        <v>0</v>
      </c>
      <c r="AC37" s="4">
        <f t="shared" si="38"/>
        <v>0</v>
      </c>
      <c r="AD37" s="4">
        <f t="shared" si="38"/>
        <v>0</v>
      </c>
      <c r="AE37" s="4">
        <f t="shared" si="38"/>
        <v>1</v>
      </c>
      <c r="AF37" s="4">
        <f t="shared" si="38"/>
        <v>0</v>
      </c>
      <c r="AG37" s="4">
        <f t="shared" si="38"/>
        <v>1</v>
      </c>
      <c r="AH37" s="4">
        <f t="shared" si="38"/>
        <v>1</v>
      </c>
      <c r="AI37" s="11"/>
      <c r="AJ37" s="12"/>
      <c r="AK37" s="13"/>
      <c r="AL37" s="3"/>
      <c r="AM37" s="3"/>
    </row>
    <row r="38" spans="2:39" ht="7.5" customHeight="1">
      <c r="B38" s="53" t="s">
        <v>18</v>
      </c>
      <c r="C38" s="54"/>
      <c r="D38" s="4">
        <f>COUNTIF(D$5:D$19,"C1")</f>
        <v>0</v>
      </c>
      <c r="E38" s="4">
        <f t="shared" ref="E38:AH38" si="39">COUNTIF(E$5:E$19,"D")</f>
        <v>0</v>
      </c>
      <c r="F38" s="4">
        <f t="shared" si="39"/>
        <v>0</v>
      </c>
      <c r="G38" s="4">
        <f t="shared" si="39"/>
        <v>1</v>
      </c>
      <c r="H38" s="4">
        <f>COUNTIF(H$5:H$19,"D")</f>
        <v>0</v>
      </c>
      <c r="I38" s="4">
        <f t="shared" si="39"/>
        <v>0</v>
      </c>
      <c r="J38" s="4">
        <f t="shared" si="39"/>
        <v>1</v>
      </c>
      <c r="K38" s="4">
        <f t="shared" si="39"/>
        <v>1</v>
      </c>
      <c r="L38" s="4">
        <f t="shared" si="39"/>
        <v>0</v>
      </c>
      <c r="M38" s="4">
        <f t="shared" si="39"/>
        <v>1</v>
      </c>
      <c r="N38" s="4">
        <f t="shared" si="39"/>
        <v>0</v>
      </c>
      <c r="O38" s="4">
        <f>COUNTIF(O$5:O$19,"D")</f>
        <v>0</v>
      </c>
      <c r="P38" s="4">
        <f t="shared" si="39"/>
        <v>0</v>
      </c>
      <c r="Q38" s="4">
        <f t="shared" si="39"/>
        <v>1</v>
      </c>
      <c r="R38" s="4">
        <f t="shared" si="39"/>
        <v>0</v>
      </c>
      <c r="S38" s="4">
        <f t="shared" si="39"/>
        <v>0</v>
      </c>
      <c r="T38" s="4">
        <f t="shared" si="39"/>
        <v>0</v>
      </c>
      <c r="U38" s="4">
        <f t="shared" si="39"/>
        <v>0</v>
      </c>
      <c r="V38" s="4">
        <f t="shared" si="39"/>
        <v>0</v>
      </c>
      <c r="W38" s="4">
        <f t="shared" si="39"/>
        <v>0</v>
      </c>
      <c r="X38" s="4">
        <f t="shared" si="39"/>
        <v>1</v>
      </c>
      <c r="Y38" s="4">
        <f t="shared" si="39"/>
        <v>0</v>
      </c>
      <c r="Z38" s="4">
        <f t="shared" si="39"/>
        <v>0</v>
      </c>
      <c r="AA38" s="4">
        <f t="shared" si="39"/>
        <v>1</v>
      </c>
      <c r="AB38" s="4">
        <f t="shared" si="39"/>
        <v>0</v>
      </c>
      <c r="AC38" s="4">
        <f t="shared" si="39"/>
        <v>0</v>
      </c>
      <c r="AD38" s="4">
        <f t="shared" si="39"/>
        <v>1</v>
      </c>
      <c r="AE38" s="4">
        <f t="shared" si="39"/>
        <v>0</v>
      </c>
      <c r="AF38" s="4">
        <f t="shared" si="39"/>
        <v>0</v>
      </c>
      <c r="AG38" s="4">
        <f t="shared" si="39"/>
        <v>0</v>
      </c>
      <c r="AH38" s="4">
        <f t="shared" si="39"/>
        <v>0</v>
      </c>
      <c r="AI38" s="11"/>
      <c r="AJ38" s="12"/>
      <c r="AK38" s="13"/>
      <c r="AL38" s="3"/>
      <c r="AM38" s="3"/>
    </row>
    <row r="39" spans="2:39" ht="7.5" customHeight="1">
      <c r="B39" s="99" t="s">
        <v>20</v>
      </c>
      <c r="C39" s="100"/>
      <c r="D39" s="4">
        <f>COUNTIF(D$5:D$19,"C2")</f>
        <v>0</v>
      </c>
      <c r="E39" s="4">
        <f t="shared" ref="E39:AH39" si="40">COUNTIF(E$5:E$19,"F")</f>
        <v>0</v>
      </c>
      <c r="F39" s="4">
        <f t="shared" si="40"/>
        <v>0</v>
      </c>
      <c r="G39" s="4">
        <f t="shared" si="40"/>
        <v>0</v>
      </c>
      <c r="H39" s="4">
        <f>COUNTIF(H$5:H$19,"F")</f>
        <v>0</v>
      </c>
      <c r="I39" s="4">
        <f t="shared" si="40"/>
        <v>0</v>
      </c>
      <c r="J39" s="4">
        <f t="shared" si="40"/>
        <v>0</v>
      </c>
      <c r="K39" s="4">
        <f t="shared" si="40"/>
        <v>0</v>
      </c>
      <c r="L39" s="4">
        <f t="shared" si="40"/>
        <v>0</v>
      </c>
      <c r="M39" s="4">
        <f t="shared" si="40"/>
        <v>0</v>
      </c>
      <c r="N39" s="4">
        <f t="shared" si="40"/>
        <v>0</v>
      </c>
      <c r="O39" s="4">
        <f>COUNTIF(O$5:O$19,"F")</f>
        <v>0</v>
      </c>
      <c r="P39" s="4">
        <f t="shared" si="40"/>
        <v>0</v>
      </c>
      <c r="Q39" s="4">
        <f t="shared" si="40"/>
        <v>0</v>
      </c>
      <c r="R39" s="4">
        <f t="shared" si="40"/>
        <v>0</v>
      </c>
      <c r="S39" s="4">
        <f t="shared" si="40"/>
        <v>0</v>
      </c>
      <c r="T39" s="4">
        <f t="shared" si="40"/>
        <v>0</v>
      </c>
      <c r="U39" s="4">
        <f t="shared" si="40"/>
        <v>0</v>
      </c>
      <c r="V39" s="4">
        <f t="shared" si="40"/>
        <v>0</v>
      </c>
      <c r="W39" s="4">
        <f t="shared" si="40"/>
        <v>0</v>
      </c>
      <c r="X39" s="4">
        <f t="shared" si="40"/>
        <v>0</v>
      </c>
      <c r="Y39" s="4">
        <f t="shared" si="40"/>
        <v>0</v>
      </c>
      <c r="Z39" s="4">
        <f t="shared" si="40"/>
        <v>0</v>
      </c>
      <c r="AA39" s="4">
        <f t="shared" si="40"/>
        <v>0</v>
      </c>
      <c r="AB39" s="4">
        <f t="shared" si="40"/>
        <v>0</v>
      </c>
      <c r="AC39" s="4">
        <f t="shared" si="40"/>
        <v>0</v>
      </c>
      <c r="AD39" s="4">
        <f t="shared" si="40"/>
        <v>0</v>
      </c>
      <c r="AE39" s="4">
        <f t="shared" si="40"/>
        <v>0</v>
      </c>
      <c r="AF39" s="4">
        <f t="shared" si="40"/>
        <v>0</v>
      </c>
      <c r="AG39" s="4">
        <f t="shared" si="40"/>
        <v>0</v>
      </c>
      <c r="AH39" s="4">
        <f t="shared" si="40"/>
        <v>0</v>
      </c>
      <c r="AI39" s="11"/>
      <c r="AJ39" s="12"/>
      <c r="AK39" s="13"/>
      <c r="AL39" s="3"/>
      <c r="AM39" s="3"/>
    </row>
    <row r="40" spans="2:39" ht="7.5" customHeight="1">
      <c r="B40" s="99" t="s">
        <v>44</v>
      </c>
      <c r="C40" s="100"/>
      <c r="D40" s="4">
        <f>COUNTIF(D$5:D$19,"B")</f>
        <v>0</v>
      </c>
      <c r="E40" s="4">
        <f t="shared" ref="E40:AH40" si="41">COUNTIF(E$5:E$19,"H")</f>
        <v>0</v>
      </c>
      <c r="F40" s="4">
        <f t="shared" si="41"/>
        <v>0</v>
      </c>
      <c r="G40" s="4">
        <f t="shared" si="41"/>
        <v>0</v>
      </c>
      <c r="H40" s="4">
        <f>COUNTIF(H$5:H$19,"H")</f>
        <v>0</v>
      </c>
      <c r="I40" s="4">
        <f t="shared" si="41"/>
        <v>0</v>
      </c>
      <c r="J40" s="4">
        <f t="shared" si="41"/>
        <v>0</v>
      </c>
      <c r="K40" s="4">
        <f t="shared" si="41"/>
        <v>0</v>
      </c>
      <c r="L40" s="4">
        <f t="shared" si="41"/>
        <v>0</v>
      </c>
      <c r="M40" s="4">
        <f t="shared" si="41"/>
        <v>0</v>
      </c>
      <c r="N40" s="4">
        <f t="shared" si="41"/>
        <v>0</v>
      </c>
      <c r="O40" s="4">
        <f>COUNTIF(O$5:O$19,"H")</f>
        <v>0</v>
      </c>
      <c r="P40" s="4">
        <f t="shared" si="41"/>
        <v>0</v>
      </c>
      <c r="Q40" s="4">
        <f t="shared" si="41"/>
        <v>0</v>
      </c>
      <c r="R40" s="4">
        <f t="shared" si="41"/>
        <v>0</v>
      </c>
      <c r="S40" s="4">
        <f t="shared" si="41"/>
        <v>0</v>
      </c>
      <c r="T40" s="4">
        <f t="shared" si="41"/>
        <v>0</v>
      </c>
      <c r="U40" s="4">
        <f t="shared" si="41"/>
        <v>0</v>
      </c>
      <c r="V40" s="4">
        <f t="shared" si="41"/>
        <v>0</v>
      </c>
      <c r="W40" s="4">
        <f t="shared" si="41"/>
        <v>0</v>
      </c>
      <c r="X40" s="4">
        <f t="shared" si="41"/>
        <v>0</v>
      </c>
      <c r="Y40" s="4">
        <f t="shared" si="41"/>
        <v>0</v>
      </c>
      <c r="Z40" s="4">
        <f t="shared" si="41"/>
        <v>0</v>
      </c>
      <c r="AA40" s="4">
        <f t="shared" si="41"/>
        <v>0</v>
      </c>
      <c r="AB40" s="4">
        <f t="shared" si="41"/>
        <v>0</v>
      </c>
      <c r="AC40" s="4">
        <f t="shared" si="41"/>
        <v>0</v>
      </c>
      <c r="AD40" s="4">
        <f t="shared" si="41"/>
        <v>0</v>
      </c>
      <c r="AE40" s="4">
        <f t="shared" si="41"/>
        <v>0</v>
      </c>
      <c r="AF40" s="4">
        <f t="shared" si="41"/>
        <v>0</v>
      </c>
      <c r="AG40" s="4">
        <f t="shared" si="41"/>
        <v>0</v>
      </c>
      <c r="AH40" s="4">
        <f t="shared" si="41"/>
        <v>0</v>
      </c>
      <c r="AI40" s="105" t="s">
        <v>45</v>
      </c>
      <c r="AJ40" s="106"/>
      <c r="AK40" s="107"/>
      <c r="AL40" s="3"/>
      <c r="AM40" s="3"/>
    </row>
    <row r="41" spans="2:39" ht="7.5" customHeight="1">
      <c r="B41" s="99" t="s">
        <v>14</v>
      </c>
      <c r="C41" s="100"/>
      <c r="D41" s="4">
        <f>COUNTIF(D$5:D$19,"B1")</f>
        <v>0</v>
      </c>
      <c r="E41" s="4">
        <f t="shared" ref="E41:AH41" si="42">COUNTIF(E$5:E$19,"J")</f>
        <v>0</v>
      </c>
      <c r="F41" s="4">
        <f t="shared" si="42"/>
        <v>0</v>
      </c>
      <c r="G41" s="4">
        <f t="shared" si="42"/>
        <v>0</v>
      </c>
      <c r="H41" s="4">
        <f>COUNTIF(H$5:H$19,"J")</f>
        <v>0</v>
      </c>
      <c r="I41" s="4">
        <f t="shared" si="42"/>
        <v>0</v>
      </c>
      <c r="J41" s="4">
        <f t="shared" si="42"/>
        <v>0</v>
      </c>
      <c r="K41" s="4">
        <f t="shared" si="42"/>
        <v>0</v>
      </c>
      <c r="L41" s="4">
        <f t="shared" si="42"/>
        <v>0</v>
      </c>
      <c r="M41" s="4">
        <f t="shared" si="42"/>
        <v>0</v>
      </c>
      <c r="N41" s="4">
        <f t="shared" si="42"/>
        <v>0</v>
      </c>
      <c r="O41" s="4">
        <f>COUNTIF(O$5:O$19,"J")</f>
        <v>0</v>
      </c>
      <c r="P41" s="4">
        <f t="shared" si="42"/>
        <v>0</v>
      </c>
      <c r="Q41" s="4">
        <f t="shared" si="42"/>
        <v>0</v>
      </c>
      <c r="R41" s="4">
        <f t="shared" si="42"/>
        <v>0</v>
      </c>
      <c r="S41" s="4">
        <f t="shared" si="42"/>
        <v>0</v>
      </c>
      <c r="T41" s="4">
        <f t="shared" si="42"/>
        <v>0</v>
      </c>
      <c r="U41" s="4">
        <f t="shared" si="42"/>
        <v>0</v>
      </c>
      <c r="V41" s="4">
        <f t="shared" si="42"/>
        <v>0</v>
      </c>
      <c r="W41" s="4">
        <f t="shared" si="42"/>
        <v>0</v>
      </c>
      <c r="X41" s="4">
        <f t="shared" si="42"/>
        <v>0</v>
      </c>
      <c r="Y41" s="4">
        <f t="shared" si="42"/>
        <v>0</v>
      </c>
      <c r="Z41" s="4">
        <f t="shared" si="42"/>
        <v>0</v>
      </c>
      <c r="AA41" s="4">
        <f t="shared" si="42"/>
        <v>0</v>
      </c>
      <c r="AB41" s="4">
        <f t="shared" si="42"/>
        <v>0</v>
      </c>
      <c r="AC41" s="4">
        <f t="shared" si="42"/>
        <v>0</v>
      </c>
      <c r="AD41" s="4">
        <f t="shared" si="42"/>
        <v>0</v>
      </c>
      <c r="AE41" s="4">
        <f t="shared" si="42"/>
        <v>0</v>
      </c>
      <c r="AF41" s="4">
        <f t="shared" si="42"/>
        <v>0</v>
      </c>
      <c r="AG41" s="4">
        <f t="shared" si="42"/>
        <v>0</v>
      </c>
      <c r="AH41" s="4">
        <f t="shared" si="42"/>
        <v>0</v>
      </c>
      <c r="AI41" s="110"/>
      <c r="AJ41" s="111"/>
      <c r="AK41" s="112"/>
      <c r="AL41" s="3"/>
      <c r="AM41" s="3"/>
    </row>
    <row r="42" spans="2:39" ht="7.5" customHeight="1">
      <c r="B42" s="99" t="s">
        <v>46</v>
      </c>
      <c r="C42" s="100"/>
      <c r="D42" s="4">
        <f t="shared" ref="D42:AH42" si="43">COUNTIF(D$5:D$19,"I")</f>
        <v>0</v>
      </c>
      <c r="E42" s="4">
        <f t="shared" si="43"/>
        <v>0</v>
      </c>
      <c r="F42" s="4">
        <f t="shared" si="43"/>
        <v>0</v>
      </c>
      <c r="G42" s="4">
        <f t="shared" si="43"/>
        <v>0</v>
      </c>
      <c r="H42" s="4">
        <f>COUNTIF(H$5:H$19,"I")</f>
        <v>0</v>
      </c>
      <c r="I42" s="4">
        <f t="shared" si="43"/>
        <v>0</v>
      </c>
      <c r="J42" s="4">
        <f t="shared" si="43"/>
        <v>0</v>
      </c>
      <c r="K42" s="4">
        <f t="shared" si="43"/>
        <v>0</v>
      </c>
      <c r="L42" s="4">
        <f t="shared" si="43"/>
        <v>0</v>
      </c>
      <c r="M42" s="4">
        <f t="shared" si="43"/>
        <v>0</v>
      </c>
      <c r="N42" s="4">
        <f t="shared" si="43"/>
        <v>0</v>
      </c>
      <c r="O42" s="4">
        <f>COUNTIF(O$5:O$19,"I")</f>
        <v>0</v>
      </c>
      <c r="P42" s="4">
        <f t="shared" si="43"/>
        <v>0</v>
      </c>
      <c r="Q42" s="4">
        <f t="shared" si="43"/>
        <v>0</v>
      </c>
      <c r="R42" s="4">
        <f t="shared" si="43"/>
        <v>0</v>
      </c>
      <c r="S42" s="4">
        <f t="shared" si="43"/>
        <v>0</v>
      </c>
      <c r="T42" s="4">
        <f t="shared" si="43"/>
        <v>0</v>
      </c>
      <c r="U42" s="4">
        <f t="shared" si="43"/>
        <v>0</v>
      </c>
      <c r="V42" s="4">
        <f t="shared" si="43"/>
        <v>0</v>
      </c>
      <c r="W42" s="4">
        <f t="shared" si="43"/>
        <v>0</v>
      </c>
      <c r="X42" s="4">
        <f t="shared" si="43"/>
        <v>0</v>
      </c>
      <c r="Y42" s="4">
        <f t="shared" si="43"/>
        <v>0</v>
      </c>
      <c r="Z42" s="4">
        <f t="shared" si="43"/>
        <v>0</v>
      </c>
      <c r="AA42" s="4">
        <f t="shared" si="43"/>
        <v>0</v>
      </c>
      <c r="AB42" s="4">
        <f t="shared" si="43"/>
        <v>0</v>
      </c>
      <c r="AC42" s="4">
        <f t="shared" si="43"/>
        <v>0</v>
      </c>
      <c r="AD42" s="4">
        <f t="shared" si="43"/>
        <v>0</v>
      </c>
      <c r="AE42" s="4">
        <f t="shared" si="43"/>
        <v>0</v>
      </c>
      <c r="AF42" s="4">
        <f t="shared" si="43"/>
        <v>0</v>
      </c>
      <c r="AG42" s="4">
        <f t="shared" si="43"/>
        <v>0</v>
      </c>
      <c r="AH42" s="4">
        <f t="shared" si="43"/>
        <v>0</v>
      </c>
      <c r="AI42" s="113"/>
      <c r="AJ42" s="114"/>
      <c r="AK42" s="115"/>
      <c r="AL42" s="3"/>
      <c r="AM42" s="3"/>
    </row>
    <row r="43" spans="2:39" ht="7.5" customHeight="1">
      <c r="B43" s="99" t="s">
        <v>30</v>
      </c>
      <c r="C43" s="100"/>
      <c r="D43" s="4">
        <f t="shared" ref="D43:AH43" si="44">COUNTIF(D$5:D$19,"P1")</f>
        <v>0</v>
      </c>
      <c r="E43" s="4">
        <f t="shared" si="44"/>
        <v>0</v>
      </c>
      <c r="F43" s="4">
        <f t="shared" si="44"/>
        <v>0</v>
      </c>
      <c r="G43" s="4">
        <f t="shared" si="44"/>
        <v>0</v>
      </c>
      <c r="H43" s="4">
        <f>COUNTIF(H$5:H$19,"P1")</f>
        <v>0</v>
      </c>
      <c r="I43" s="4">
        <f t="shared" si="44"/>
        <v>0</v>
      </c>
      <c r="J43" s="4">
        <f t="shared" si="44"/>
        <v>0</v>
      </c>
      <c r="K43" s="4">
        <f t="shared" si="44"/>
        <v>0</v>
      </c>
      <c r="L43" s="4">
        <f t="shared" si="44"/>
        <v>0</v>
      </c>
      <c r="M43" s="4">
        <f t="shared" si="44"/>
        <v>0</v>
      </c>
      <c r="N43" s="4">
        <f t="shared" si="44"/>
        <v>0</v>
      </c>
      <c r="O43" s="4">
        <f>COUNTIF(O$5:O$19,"P1")</f>
        <v>0</v>
      </c>
      <c r="P43" s="4">
        <f t="shared" si="44"/>
        <v>0</v>
      </c>
      <c r="Q43" s="4">
        <f t="shared" si="44"/>
        <v>0</v>
      </c>
      <c r="R43" s="4">
        <f t="shared" si="44"/>
        <v>0</v>
      </c>
      <c r="S43" s="4">
        <f t="shared" si="44"/>
        <v>0</v>
      </c>
      <c r="T43" s="4">
        <f t="shared" si="44"/>
        <v>0</v>
      </c>
      <c r="U43" s="4">
        <f t="shared" si="44"/>
        <v>0</v>
      </c>
      <c r="V43" s="4">
        <f t="shared" si="44"/>
        <v>0</v>
      </c>
      <c r="W43" s="4">
        <f t="shared" si="44"/>
        <v>0</v>
      </c>
      <c r="X43" s="4">
        <f t="shared" si="44"/>
        <v>0</v>
      </c>
      <c r="Y43" s="4">
        <f t="shared" si="44"/>
        <v>0</v>
      </c>
      <c r="Z43" s="4">
        <f t="shared" si="44"/>
        <v>0</v>
      </c>
      <c r="AA43" s="4">
        <f t="shared" si="44"/>
        <v>0</v>
      </c>
      <c r="AB43" s="4">
        <f t="shared" si="44"/>
        <v>0</v>
      </c>
      <c r="AC43" s="4">
        <f t="shared" si="44"/>
        <v>0</v>
      </c>
      <c r="AD43" s="4">
        <f t="shared" si="44"/>
        <v>0</v>
      </c>
      <c r="AE43" s="4">
        <f t="shared" si="44"/>
        <v>0</v>
      </c>
      <c r="AF43" s="4">
        <f t="shared" si="44"/>
        <v>0</v>
      </c>
      <c r="AG43" s="4">
        <f t="shared" si="44"/>
        <v>0</v>
      </c>
      <c r="AH43" s="4">
        <f t="shared" si="44"/>
        <v>0</v>
      </c>
      <c r="AI43" s="113"/>
      <c r="AJ43" s="114"/>
      <c r="AK43" s="115"/>
      <c r="AL43" s="3"/>
      <c r="AM43" s="3"/>
    </row>
    <row r="44" spans="2:39" ht="7.5" customHeight="1">
      <c r="B44" s="99"/>
      <c r="C44" s="100"/>
      <c r="D44" s="4">
        <f>COUNTIF(D$5:D$19,"P3")</f>
        <v>1</v>
      </c>
      <c r="E44" s="4">
        <f t="shared" ref="E44:AH44" si="45">COUNTIF(E$5:E$19,"P３")</f>
        <v>0</v>
      </c>
      <c r="F44" s="4">
        <f t="shared" si="45"/>
        <v>0</v>
      </c>
      <c r="G44" s="4">
        <f t="shared" si="45"/>
        <v>0</v>
      </c>
      <c r="H44" s="4">
        <f>COUNTIF(H$5:H$19,"P３")</f>
        <v>0</v>
      </c>
      <c r="I44" s="4">
        <f t="shared" si="45"/>
        <v>0</v>
      </c>
      <c r="J44" s="4">
        <f t="shared" si="45"/>
        <v>0</v>
      </c>
      <c r="K44" s="4">
        <f t="shared" si="45"/>
        <v>0</v>
      </c>
      <c r="L44" s="4">
        <f t="shared" si="45"/>
        <v>0</v>
      </c>
      <c r="M44" s="4">
        <f t="shared" si="45"/>
        <v>0</v>
      </c>
      <c r="N44" s="4">
        <f t="shared" si="45"/>
        <v>0</v>
      </c>
      <c r="O44" s="4">
        <f>COUNTIF(O$5:O$19,"P３")</f>
        <v>0</v>
      </c>
      <c r="P44" s="4">
        <f t="shared" si="45"/>
        <v>0</v>
      </c>
      <c r="Q44" s="4">
        <f t="shared" si="45"/>
        <v>0</v>
      </c>
      <c r="R44" s="4">
        <f t="shared" si="45"/>
        <v>0</v>
      </c>
      <c r="S44" s="4">
        <f t="shared" si="45"/>
        <v>0</v>
      </c>
      <c r="T44" s="4">
        <f t="shared" si="45"/>
        <v>0</v>
      </c>
      <c r="U44" s="4">
        <f t="shared" si="45"/>
        <v>0</v>
      </c>
      <c r="V44" s="4">
        <f t="shared" si="45"/>
        <v>0</v>
      </c>
      <c r="W44" s="4">
        <f t="shared" si="45"/>
        <v>0</v>
      </c>
      <c r="X44" s="4">
        <f t="shared" si="45"/>
        <v>0</v>
      </c>
      <c r="Y44" s="4">
        <f t="shared" si="45"/>
        <v>0</v>
      </c>
      <c r="Z44" s="4">
        <f t="shared" si="45"/>
        <v>0</v>
      </c>
      <c r="AA44" s="4">
        <f t="shared" si="45"/>
        <v>0</v>
      </c>
      <c r="AB44" s="4">
        <f t="shared" si="45"/>
        <v>0</v>
      </c>
      <c r="AC44" s="4">
        <f t="shared" si="45"/>
        <v>0</v>
      </c>
      <c r="AD44" s="4">
        <f t="shared" si="45"/>
        <v>0</v>
      </c>
      <c r="AE44" s="4">
        <f t="shared" si="45"/>
        <v>0</v>
      </c>
      <c r="AF44" s="4">
        <f t="shared" si="45"/>
        <v>0</v>
      </c>
      <c r="AG44" s="4">
        <f t="shared" si="45"/>
        <v>0</v>
      </c>
      <c r="AH44" s="4">
        <f t="shared" si="45"/>
        <v>0</v>
      </c>
      <c r="AI44" s="113"/>
      <c r="AJ44" s="114"/>
      <c r="AK44" s="115"/>
      <c r="AL44" s="3"/>
      <c r="AM44" s="3"/>
    </row>
    <row r="45" spans="2:39" ht="7.5" customHeight="1">
      <c r="B45" s="97" t="s">
        <v>47</v>
      </c>
      <c r="C45" s="98"/>
      <c r="D45" s="33">
        <f>SUM(D$28:D$43)</f>
        <v>2</v>
      </c>
      <c r="E45" s="10">
        <f t="shared" ref="E45:AH45" si="46">SUM(E$28:E$43)</f>
        <v>1</v>
      </c>
      <c r="F45" s="10">
        <f t="shared" si="46"/>
        <v>2</v>
      </c>
      <c r="G45" s="10">
        <f t="shared" si="46"/>
        <v>3</v>
      </c>
      <c r="H45" s="10">
        <f t="shared" si="46"/>
        <v>0</v>
      </c>
      <c r="I45" s="10">
        <f t="shared" si="46"/>
        <v>2</v>
      </c>
      <c r="J45" s="10">
        <f t="shared" si="46"/>
        <v>4</v>
      </c>
      <c r="K45" s="10">
        <f t="shared" si="46"/>
        <v>5</v>
      </c>
      <c r="L45" s="10">
        <f t="shared" si="46"/>
        <v>3</v>
      </c>
      <c r="M45" s="10">
        <f t="shared" si="46"/>
        <v>4</v>
      </c>
      <c r="N45" s="10">
        <f t="shared" si="46"/>
        <v>0</v>
      </c>
      <c r="O45" s="10">
        <f t="shared" si="46"/>
        <v>0</v>
      </c>
      <c r="P45" s="10">
        <f t="shared" si="46"/>
        <v>1</v>
      </c>
      <c r="Q45" s="10">
        <f t="shared" si="46"/>
        <v>6</v>
      </c>
      <c r="R45" s="10">
        <f t="shared" si="46"/>
        <v>3</v>
      </c>
      <c r="S45" s="10">
        <f t="shared" si="46"/>
        <v>1</v>
      </c>
      <c r="T45" s="10">
        <f t="shared" si="46"/>
        <v>0</v>
      </c>
      <c r="U45" s="10">
        <f t="shared" si="46"/>
        <v>0</v>
      </c>
      <c r="V45" s="10">
        <f t="shared" si="46"/>
        <v>0</v>
      </c>
      <c r="W45" s="10">
        <f t="shared" si="46"/>
        <v>0</v>
      </c>
      <c r="X45" s="10">
        <f t="shared" si="46"/>
        <v>3</v>
      </c>
      <c r="Y45" s="10">
        <f t="shared" si="46"/>
        <v>2</v>
      </c>
      <c r="Z45" s="10">
        <f t="shared" si="46"/>
        <v>1</v>
      </c>
      <c r="AA45" s="10">
        <f t="shared" si="46"/>
        <v>3</v>
      </c>
      <c r="AB45" s="10">
        <f t="shared" si="46"/>
        <v>0</v>
      </c>
      <c r="AC45" s="10">
        <f t="shared" si="46"/>
        <v>10</v>
      </c>
      <c r="AD45" s="10">
        <f t="shared" si="46"/>
        <v>3</v>
      </c>
      <c r="AE45" s="10">
        <f t="shared" si="46"/>
        <v>1</v>
      </c>
      <c r="AF45" s="10">
        <f t="shared" si="46"/>
        <v>2</v>
      </c>
      <c r="AG45" s="10">
        <f t="shared" si="46"/>
        <v>1</v>
      </c>
      <c r="AH45" s="9">
        <f t="shared" si="46"/>
        <v>1</v>
      </c>
      <c r="AI45" s="116"/>
      <c r="AJ45" s="117"/>
      <c r="AK45" s="118"/>
      <c r="AL45" s="3"/>
      <c r="AM45" s="3"/>
    </row>
  </sheetData>
  <mergeCells count="101">
    <mergeCell ref="B1:C1"/>
    <mergeCell ref="AI41:AK45"/>
    <mergeCell ref="B18:C18"/>
    <mergeCell ref="AM20:AO20"/>
    <mergeCell ref="AM22:AO22"/>
    <mergeCell ref="AM24:AO24"/>
    <mergeCell ref="AM19:AO19"/>
    <mergeCell ref="B34:C34"/>
    <mergeCell ref="B35:C35"/>
    <mergeCell ref="B44:C44"/>
    <mergeCell ref="T20:T27"/>
    <mergeCell ref="S20:S27"/>
    <mergeCell ref="R20:R27"/>
    <mergeCell ref="B33:C33"/>
    <mergeCell ref="B38:C38"/>
    <mergeCell ref="AM18:AO18"/>
    <mergeCell ref="B20:C27"/>
    <mergeCell ref="F20:F27"/>
    <mergeCell ref="I20:I27"/>
    <mergeCell ref="B19:C19"/>
    <mergeCell ref="B43:C43"/>
    <mergeCell ref="B42:C42"/>
    <mergeCell ref="AG20:AG27"/>
    <mergeCell ref="B28:C28"/>
    <mergeCell ref="AC20:AC27"/>
    <mergeCell ref="AM10:AO10"/>
    <mergeCell ref="AM11:AO11"/>
    <mergeCell ref="AM12:AO12"/>
    <mergeCell ref="AM13:AO13"/>
    <mergeCell ref="AM14:AO14"/>
    <mergeCell ref="AM17:AO17"/>
    <mergeCell ref="B45:C45"/>
    <mergeCell ref="B41:C41"/>
    <mergeCell ref="B3:C4"/>
    <mergeCell ref="AI40:AK40"/>
    <mergeCell ref="B36:C36"/>
    <mergeCell ref="B37:C37"/>
    <mergeCell ref="B40:C40"/>
    <mergeCell ref="B39:C39"/>
    <mergeCell ref="B29:C29"/>
    <mergeCell ref="B32:C32"/>
    <mergeCell ref="H20:H27"/>
    <mergeCell ref="G20:G27"/>
    <mergeCell ref="B6:C6"/>
    <mergeCell ref="B14:C14"/>
    <mergeCell ref="B15:C15"/>
    <mergeCell ref="B5:C5"/>
    <mergeCell ref="B7:C7"/>
    <mergeCell ref="AD20:AD27"/>
    <mergeCell ref="B8:C8"/>
    <mergeCell ref="AI25:AK25"/>
    <mergeCell ref="AF20:AF27"/>
    <mergeCell ref="AJ3:AJ4"/>
    <mergeCell ref="AK3:AK4"/>
    <mergeCell ref="AI20:AK20"/>
    <mergeCell ref="AI3:AI4"/>
    <mergeCell ref="AE20:AE27"/>
    <mergeCell ref="AH20:AH27"/>
    <mergeCell ref="AB20:AB27"/>
    <mergeCell ref="AA20:AA27"/>
    <mergeCell ref="Z20:Z27"/>
    <mergeCell ref="B9:C9"/>
    <mergeCell ref="B10:C10"/>
    <mergeCell ref="B11:C11"/>
    <mergeCell ref="B17:C17"/>
    <mergeCell ref="J1:Y1"/>
    <mergeCell ref="Q20:Q27"/>
    <mergeCell ref="P20:P27"/>
    <mergeCell ref="O20:O27"/>
    <mergeCell ref="N20:N27"/>
    <mergeCell ref="M20:M27"/>
    <mergeCell ref="K20:K27"/>
    <mergeCell ref="J20:J27"/>
    <mergeCell ref="U20:U27"/>
    <mergeCell ref="V20:V27"/>
    <mergeCell ref="W20:W27"/>
    <mergeCell ref="X20:X27"/>
    <mergeCell ref="L20:L27"/>
    <mergeCell ref="B30:C30"/>
    <mergeCell ref="B31:C31"/>
    <mergeCell ref="AM5:AO5"/>
    <mergeCell ref="AM6:AO6"/>
    <mergeCell ref="E20:E27"/>
    <mergeCell ref="D20:D27"/>
    <mergeCell ref="B16:C16"/>
    <mergeCell ref="AM16:AO16"/>
    <mergeCell ref="Y20:Y27"/>
    <mergeCell ref="AM7:AO7"/>
    <mergeCell ref="AM8:AO8"/>
    <mergeCell ref="AM9:AO9"/>
    <mergeCell ref="AM15:AO15"/>
    <mergeCell ref="B12:C12"/>
    <mergeCell ref="B13:C13"/>
    <mergeCell ref="AE1:AF1"/>
    <mergeCell ref="AG1:AK1"/>
    <mergeCell ref="AI23:AK23"/>
    <mergeCell ref="AI26:AK26"/>
    <mergeCell ref="AI27:AK27"/>
    <mergeCell ref="AI21:AK21"/>
    <mergeCell ref="AI22:AK22"/>
    <mergeCell ref="AI24:AK24"/>
  </mergeCells>
  <phoneticPr fontId="2"/>
  <dataValidations count="1">
    <dataValidation type="list" allowBlank="1" showInputMessage="1" showErrorMessage="1" sqref="D5:AH19" xr:uid="{7A94411E-6F33-4DE6-B946-CE92021C42C0}">
      <formula1>$AL$5:$AL$27</formula1>
    </dataValidation>
  </dataValidations>
  <pageMargins left="0.17" right="0.17" top="0.24" bottom="0.24" header="0.17" footer="0.17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クリエイト らしさ</dc:creator>
  <cp:keywords/>
  <dc:description/>
  <cp:lastModifiedBy>kazunori oku</cp:lastModifiedBy>
  <cp:revision/>
  <cp:lastPrinted>2026-05-14T22:46:03Z</cp:lastPrinted>
  <dcterms:created xsi:type="dcterms:W3CDTF">2024-06-08T03:08:27Z</dcterms:created>
  <dcterms:modified xsi:type="dcterms:W3CDTF">2026-06-16T23:41:06Z</dcterms:modified>
  <cp:category/>
  <cp:contentStatus/>
</cp:coreProperties>
</file>